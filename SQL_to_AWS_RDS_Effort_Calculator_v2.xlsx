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aka\Downloads\"/>
    </mc:Choice>
  </mc:AlternateContent>
  <xr:revisionPtr revIDLastSave="0" documentId="8_{3BB91B67-0B0F-4BAF-808A-A9886DD36AEB}" xr6:coauthVersionLast="47" xr6:coauthVersionMax="47" xr10:uidLastSave="{00000000-0000-0000-0000-000000000000}"/>
  <bookViews>
    <workbookView xWindow="3024" yWindow="2484" windowWidth="13836" windowHeight="7968" tabRatio="500" xr2:uid="{00000000-000D-0000-FFFF-FFFF00000000}"/>
  </bookViews>
  <sheets>
    <sheet name="✏️ SME Input" sheetId="1" r:id="rId1"/>
    <sheet name="📋 App Effort Detail" sheetId="2" r:id="rId2"/>
    <sheet name="📊 Dashboard" sheetId="3" r:id="rId3"/>
    <sheet name="🔍 App Pivot View" sheetId="4" r:id="rId4"/>
    <sheet name="📅 Wave Plan" sheetId="5" r:id="rId5"/>
    <sheet name="⚙️ Rate Card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7" i="4" l="1"/>
  <c r="D36" i="4"/>
  <c r="D35" i="4"/>
  <c r="D34" i="4"/>
  <c r="D33" i="4"/>
  <c r="D32" i="4"/>
  <c r="D31" i="4"/>
  <c r="G47" i="3"/>
  <c r="F47" i="3"/>
  <c r="E47" i="3"/>
  <c r="D47" i="3"/>
  <c r="C47" i="3"/>
  <c r="B47" i="3"/>
  <c r="D29" i="3"/>
  <c r="D28" i="3"/>
  <c r="D27" i="3"/>
  <c r="D26" i="3"/>
  <c r="D25" i="3"/>
  <c r="D24" i="3"/>
  <c r="D23" i="3"/>
  <c r="AR36" i="2"/>
  <c r="AQ36" i="2"/>
  <c r="AP36" i="2"/>
  <c r="AI36" i="2"/>
  <c r="AF36" i="2"/>
  <c r="AE36" i="2"/>
  <c r="AD36" i="2"/>
  <c r="AB36" i="2"/>
  <c r="AC36" i="2" s="1"/>
  <c r="Y36" i="2"/>
  <c r="V36" i="2"/>
  <c r="R36" i="2"/>
  <c r="Q36" i="2"/>
  <c r="P36" i="2"/>
  <c r="O36" i="2"/>
  <c r="N36" i="2"/>
  <c r="M36" i="2"/>
  <c r="X36" i="2" s="1"/>
  <c r="L36" i="2"/>
  <c r="K36" i="2"/>
  <c r="J36" i="2"/>
  <c r="I36" i="2"/>
  <c r="AG36" i="2" s="1"/>
  <c r="H36" i="2"/>
  <c r="G36" i="2"/>
  <c r="F36" i="2"/>
  <c r="E36" i="2"/>
  <c r="D36" i="2"/>
  <c r="C36" i="2"/>
  <c r="B36" i="2"/>
  <c r="AR35" i="2"/>
  <c r="AQ35" i="2"/>
  <c r="AP35" i="2"/>
  <c r="AL35" i="2"/>
  <c r="AK35" i="2"/>
  <c r="AJ35" i="2"/>
  <c r="AM35" i="2" s="1"/>
  <c r="AI35" i="2"/>
  <c r="AH35" i="2"/>
  <c r="AF35" i="2"/>
  <c r="AE35" i="2"/>
  <c r="AD35" i="2"/>
  <c r="AC35" i="2"/>
  <c r="AB35" i="2"/>
  <c r="Y35" i="2"/>
  <c r="Q35" i="2"/>
  <c r="P35" i="2"/>
  <c r="O35" i="2"/>
  <c r="N35" i="2"/>
  <c r="M35" i="2"/>
  <c r="X35" i="2" s="1"/>
  <c r="L35" i="2"/>
  <c r="K35" i="2"/>
  <c r="J35" i="2"/>
  <c r="I35" i="2"/>
  <c r="S35" i="2" s="1"/>
  <c r="T35" i="2" s="1"/>
  <c r="H35" i="2"/>
  <c r="G35" i="2"/>
  <c r="AA35" i="2" s="1"/>
  <c r="F35" i="2"/>
  <c r="E35" i="2"/>
  <c r="D35" i="2"/>
  <c r="AG35" i="2" s="1"/>
  <c r="C35" i="2"/>
  <c r="B35" i="2"/>
  <c r="AR34" i="2"/>
  <c r="AQ34" i="2"/>
  <c r="AP34" i="2"/>
  <c r="AE34" i="2"/>
  <c r="AD34" i="2"/>
  <c r="AC34" i="2"/>
  <c r="AB34" i="2"/>
  <c r="AF34" i="2" s="1"/>
  <c r="Q34" i="2"/>
  <c r="P34" i="2"/>
  <c r="O34" i="2"/>
  <c r="N34" i="2"/>
  <c r="M34" i="2"/>
  <c r="L34" i="2"/>
  <c r="K34" i="2"/>
  <c r="AG34" i="2" s="1"/>
  <c r="J34" i="2"/>
  <c r="I34" i="2"/>
  <c r="H34" i="2"/>
  <c r="G34" i="2"/>
  <c r="F34" i="2"/>
  <c r="E34" i="2"/>
  <c r="D34" i="2"/>
  <c r="B34" i="2"/>
  <c r="AR33" i="2"/>
  <c r="AQ33" i="2"/>
  <c r="AP33" i="2"/>
  <c r="AL33" i="2"/>
  <c r="AK33" i="2"/>
  <c r="AJ33" i="2"/>
  <c r="AI33" i="2"/>
  <c r="AO33" i="2" s="1"/>
  <c r="AH33" i="2"/>
  <c r="AG33" i="2"/>
  <c r="AM33" i="2" s="1"/>
  <c r="AF33" i="2"/>
  <c r="AC33" i="2"/>
  <c r="AB33" i="2"/>
  <c r="AE33" i="2" s="1"/>
  <c r="S33" i="2"/>
  <c r="T33" i="2" s="1"/>
  <c r="Q33" i="2"/>
  <c r="P33" i="2"/>
  <c r="O33" i="2"/>
  <c r="N33" i="2"/>
  <c r="M33" i="2"/>
  <c r="X33" i="2" s="1"/>
  <c r="L33" i="2"/>
  <c r="K33" i="2"/>
  <c r="J33" i="2"/>
  <c r="I33" i="2"/>
  <c r="H33" i="2"/>
  <c r="G33" i="2"/>
  <c r="F33" i="2"/>
  <c r="R33" i="2" s="1"/>
  <c r="E33" i="2"/>
  <c r="D33" i="2"/>
  <c r="Z33" i="2" s="1"/>
  <c r="C33" i="2"/>
  <c r="B33" i="2"/>
  <c r="AR32" i="2"/>
  <c r="AQ32" i="2"/>
  <c r="AP32" i="2"/>
  <c r="AK32" i="2"/>
  <c r="AJ32" i="2"/>
  <c r="AF32" i="2"/>
  <c r="AE32" i="2"/>
  <c r="AB32" i="2"/>
  <c r="AD32" i="2" s="1"/>
  <c r="Q32" i="2"/>
  <c r="P32" i="2"/>
  <c r="O32" i="2"/>
  <c r="N32" i="2"/>
  <c r="M32" i="2"/>
  <c r="X32" i="2" s="1"/>
  <c r="L32" i="2"/>
  <c r="K32" i="2"/>
  <c r="J32" i="2"/>
  <c r="I32" i="2"/>
  <c r="AI32" i="2" s="1"/>
  <c r="H32" i="2"/>
  <c r="G32" i="2"/>
  <c r="F32" i="2"/>
  <c r="AA32" i="2" s="1"/>
  <c r="E32" i="2"/>
  <c r="D32" i="2"/>
  <c r="Z32" i="2" s="1"/>
  <c r="B32" i="2"/>
  <c r="AR31" i="2"/>
  <c r="AQ31" i="2"/>
  <c r="AP31" i="2"/>
  <c r="AF31" i="2"/>
  <c r="AE31" i="2"/>
  <c r="AD31" i="2"/>
  <c r="AB31" i="2"/>
  <c r="AC31" i="2" s="1"/>
  <c r="Q31" i="2"/>
  <c r="P31" i="2"/>
  <c r="O31" i="2"/>
  <c r="N31" i="2"/>
  <c r="M31" i="2"/>
  <c r="X31" i="2" s="1"/>
  <c r="L31" i="2"/>
  <c r="K31" i="2"/>
  <c r="J31" i="2"/>
  <c r="I31" i="2"/>
  <c r="H31" i="2"/>
  <c r="G31" i="2"/>
  <c r="F31" i="2"/>
  <c r="E31" i="2"/>
  <c r="D31" i="2"/>
  <c r="B31" i="2"/>
  <c r="AR30" i="2"/>
  <c r="AQ30" i="2"/>
  <c r="AP30" i="2"/>
  <c r="AI30" i="2"/>
  <c r="AH30" i="2"/>
  <c r="AG30" i="2"/>
  <c r="AF30" i="2"/>
  <c r="AE30" i="2"/>
  <c r="AD30" i="2"/>
  <c r="AC30" i="2"/>
  <c r="AB30" i="2"/>
  <c r="Q30" i="2"/>
  <c r="P30" i="2"/>
  <c r="O30" i="2"/>
  <c r="N30" i="2"/>
  <c r="M30" i="2"/>
  <c r="X30" i="2" s="1"/>
  <c r="L30" i="2"/>
  <c r="AL30" i="2" s="1"/>
  <c r="K30" i="2"/>
  <c r="J30" i="2"/>
  <c r="I30" i="2"/>
  <c r="H30" i="2"/>
  <c r="G30" i="2"/>
  <c r="F30" i="2"/>
  <c r="E30" i="2"/>
  <c r="D30" i="2"/>
  <c r="B30" i="2"/>
  <c r="AR29" i="2"/>
  <c r="AQ29" i="2"/>
  <c r="AP29" i="2"/>
  <c r="AK29" i="2"/>
  <c r="AH29" i="2"/>
  <c r="AG29" i="2"/>
  <c r="AF29" i="2"/>
  <c r="AE29" i="2"/>
  <c r="AD29" i="2"/>
  <c r="AB29" i="2"/>
  <c r="AC29" i="2" s="1"/>
  <c r="Y29" i="2"/>
  <c r="Q29" i="2"/>
  <c r="P29" i="2"/>
  <c r="O29" i="2"/>
  <c r="N29" i="2"/>
  <c r="M29" i="2"/>
  <c r="X29" i="2" s="1"/>
  <c r="L29" i="2"/>
  <c r="K29" i="2"/>
  <c r="J29" i="2"/>
  <c r="I29" i="2"/>
  <c r="H29" i="2"/>
  <c r="G29" i="2"/>
  <c r="F29" i="2"/>
  <c r="E29" i="2"/>
  <c r="D29" i="2"/>
  <c r="AA29" i="2" s="1"/>
  <c r="C29" i="2"/>
  <c r="B29" i="2"/>
  <c r="AR28" i="2"/>
  <c r="AQ28" i="2"/>
  <c r="AP28" i="2"/>
  <c r="AJ28" i="2"/>
  <c r="AF28" i="2"/>
  <c r="AE28" i="2"/>
  <c r="AD28" i="2"/>
  <c r="AC28" i="2"/>
  <c r="AB28" i="2"/>
  <c r="Y28" i="2"/>
  <c r="X28" i="2"/>
  <c r="Q28" i="2"/>
  <c r="P28" i="2"/>
  <c r="O28" i="2"/>
  <c r="W28" i="2" s="1"/>
  <c r="N28" i="2"/>
  <c r="M28" i="2"/>
  <c r="L28" i="2"/>
  <c r="AL28" i="2" s="1"/>
  <c r="K28" i="2"/>
  <c r="J28" i="2"/>
  <c r="I28" i="2"/>
  <c r="H28" i="2"/>
  <c r="G28" i="2"/>
  <c r="F28" i="2"/>
  <c r="AG28" i="2" s="1"/>
  <c r="AM28" i="2" s="1"/>
  <c r="E28" i="2"/>
  <c r="D28" i="2"/>
  <c r="C28" i="2"/>
  <c r="B28" i="2"/>
  <c r="AR27" i="2"/>
  <c r="AQ27" i="2"/>
  <c r="AP27" i="2"/>
  <c r="AL27" i="2"/>
  <c r="AJ27" i="2"/>
  <c r="AB27" i="2"/>
  <c r="AE27" i="2" s="1"/>
  <c r="W27" i="2"/>
  <c r="Q27" i="2"/>
  <c r="P27" i="2"/>
  <c r="O27" i="2"/>
  <c r="AK27" i="2" s="1"/>
  <c r="N27" i="2"/>
  <c r="M27" i="2"/>
  <c r="X27" i="2" s="1"/>
  <c r="L27" i="2"/>
  <c r="K27" i="2"/>
  <c r="J27" i="2"/>
  <c r="Z27" i="2" s="1"/>
  <c r="I27" i="2"/>
  <c r="H27" i="2"/>
  <c r="G27" i="2"/>
  <c r="F27" i="2"/>
  <c r="E27" i="2"/>
  <c r="D27" i="2"/>
  <c r="B27" i="2"/>
  <c r="AR26" i="2"/>
  <c r="AQ26" i="2"/>
  <c r="AP26" i="2"/>
  <c r="AB26" i="2"/>
  <c r="AF26" i="2" s="1"/>
  <c r="AA26" i="2"/>
  <c r="Z26" i="2"/>
  <c r="Y26" i="2"/>
  <c r="V26" i="2"/>
  <c r="Q26" i="2"/>
  <c r="P26" i="2"/>
  <c r="O26" i="2"/>
  <c r="N26" i="2"/>
  <c r="M26" i="2"/>
  <c r="X26" i="2" s="1"/>
  <c r="L26" i="2"/>
  <c r="K26" i="2"/>
  <c r="J26" i="2"/>
  <c r="I26" i="2"/>
  <c r="H26" i="2"/>
  <c r="G26" i="2"/>
  <c r="F26" i="2"/>
  <c r="E26" i="2"/>
  <c r="D26" i="2"/>
  <c r="AH26" i="2" s="1"/>
  <c r="C26" i="2"/>
  <c r="B26" i="2"/>
  <c r="AR25" i="2"/>
  <c r="AQ25" i="2"/>
  <c r="AP25" i="2"/>
  <c r="AD25" i="2"/>
  <c r="AB25" i="2"/>
  <c r="AA25" i="2"/>
  <c r="X25" i="2"/>
  <c r="Q25" i="2"/>
  <c r="P25" i="2"/>
  <c r="O25" i="2"/>
  <c r="N25" i="2"/>
  <c r="M25" i="2"/>
  <c r="L25" i="2"/>
  <c r="W25" i="2" s="1"/>
  <c r="K25" i="2"/>
  <c r="J25" i="2"/>
  <c r="I25" i="2"/>
  <c r="H25" i="2"/>
  <c r="G25" i="2"/>
  <c r="F25" i="2"/>
  <c r="E25" i="2"/>
  <c r="D25" i="2"/>
  <c r="AG25" i="2" s="1"/>
  <c r="C25" i="2"/>
  <c r="B25" i="2"/>
  <c r="AR24" i="2"/>
  <c r="AQ24" i="2"/>
  <c r="AP24" i="2"/>
  <c r="AF24" i="2"/>
  <c r="AC24" i="2"/>
  <c r="AB24" i="2"/>
  <c r="Y24" i="2"/>
  <c r="X24" i="2"/>
  <c r="W24" i="2"/>
  <c r="Q24" i="2"/>
  <c r="P24" i="2"/>
  <c r="O24" i="2"/>
  <c r="N24" i="2"/>
  <c r="M24" i="2"/>
  <c r="L24" i="2"/>
  <c r="AL24" i="2" s="1"/>
  <c r="K24" i="2"/>
  <c r="J24" i="2"/>
  <c r="I24" i="2"/>
  <c r="H24" i="2"/>
  <c r="G24" i="2"/>
  <c r="F24" i="2"/>
  <c r="AA24" i="2" s="1"/>
  <c r="E24" i="2"/>
  <c r="D24" i="2"/>
  <c r="C24" i="2"/>
  <c r="B24" i="2"/>
  <c r="AR23" i="2"/>
  <c r="AQ23" i="2"/>
  <c r="AP23" i="2"/>
  <c r="AB23" i="2"/>
  <c r="AA23" i="2"/>
  <c r="Z23" i="2"/>
  <c r="Y23" i="2"/>
  <c r="X23" i="2"/>
  <c r="W23" i="2"/>
  <c r="V23" i="2"/>
  <c r="S23" i="2"/>
  <c r="T23" i="2" s="1"/>
  <c r="Q23" i="2"/>
  <c r="P23" i="2"/>
  <c r="O23" i="2"/>
  <c r="N23" i="2"/>
  <c r="M23" i="2"/>
  <c r="L23" i="2"/>
  <c r="AL23" i="2" s="1"/>
  <c r="K23" i="2"/>
  <c r="J23" i="2"/>
  <c r="I23" i="2"/>
  <c r="H23" i="2"/>
  <c r="G23" i="2"/>
  <c r="F23" i="2"/>
  <c r="E23" i="2"/>
  <c r="D23" i="2"/>
  <c r="C23" i="2"/>
  <c r="B23" i="2"/>
  <c r="AR22" i="2"/>
  <c r="AQ22" i="2"/>
  <c r="AP22" i="2"/>
  <c r="AL22" i="2"/>
  <c r="AE22" i="2"/>
  <c r="AD22" i="2"/>
  <c r="AB22" i="2"/>
  <c r="AC22" i="2" s="1"/>
  <c r="Y22" i="2"/>
  <c r="X22" i="2"/>
  <c r="W22" i="2"/>
  <c r="Q22" i="2"/>
  <c r="P22" i="2"/>
  <c r="O22" i="2"/>
  <c r="N22" i="2"/>
  <c r="M22" i="2"/>
  <c r="L22" i="2"/>
  <c r="AK22" i="2" s="1"/>
  <c r="K22" i="2"/>
  <c r="J22" i="2"/>
  <c r="I22" i="2"/>
  <c r="H22" i="2"/>
  <c r="G22" i="2"/>
  <c r="F22" i="2"/>
  <c r="E22" i="2"/>
  <c r="D22" i="2"/>
  <c r="AA22" i="2" s="1"/>
  <c r="B22" i="2"/>
  <c r="AR21" i="2"/>
  <c r="AQ21" i="2"/>
  <c r="AP21" i="2"/>
  <c r="AF21" i="2"/>
  <c r="AE21" i="2"/>
  <c r="AD21" i="2"/>
  <c r="AC21" i="2"/>
  <c r="AB21" i="2"/>
  <c r="Z21" i="2"/>
  <c r="Y21" i="2"/>
  <c r="X21" i="2"/>
  <c r="W21" i="2"/>
  <c r="V21" i="2"/>
  <c r="U21" i="2"/>
  <c r="Q21" i="2"/>
  <c r="P21" i="2"/>
  <c r="O21" i="2"/>
  <c r="AL21" i="2" s="1"/>
  <c r="N21" i="2"/>
  <c r="M21" i="2"/>
  <c r="L21" i="2"/>
  <c r="AJ21" i="2" s="1"/>
  <c r="K21" i="2"/>
  <c r="J21" i="2"/>
  <c r="I21" i="2"/>
  <c r="H21" i="2"/>
  <c r="G21" i="2"/>
  <c r="F21" i="2"/>
  <c r="E21" i="2"/>
  <c r="D21" i="2"/>
  <c r="C21" i="2"/>
  <c r="B21" i="2"/>
  <c r="AR20" i="2"/>
  <c r="AQ20" i="2"/>
  <c r="AP20" i="2"/>
  <c r="AL20" i="2"/>
  <c r="AJ20" i="2"/>
  <c r="AB20" i="2"/>
  <c r="Y20" i="2"/>
  <c r="X20" i="2"/>
  <c r="W20" i="2"/>
  <c r="V20" i="2"/>
  <c r="U20" i="2"/>
  <c r="T20" i="2"/>
  <c r="S20" i="2"/>
  <c r="Q20" i="2"/>
  <c r="P20" i="2"/>
  <c r="O20" i="2"/>
  <c r="AK20" i="2" s="1"/>
  <c r="N20" i="2"/>
  <c r="M20" i="2"/>
  <c r="L20" i="2"/>
  <c r="K20" i="2"/>
  <c r="J20" i="2"/>
  <c r="I20" i="2"/>
  <c r="H20" i="2"/>
  <c r="G20" i="2"/>
  <c r="F20" i="2"/>
  <c r="E20" i="2"/>
  <c r="D20" i="2"/>
  <c r="AA20" i="2" s="1"/>
  <c r="C20" i="2"/>
  <c r="B20" i="2"/>
  <c r="AR19" i="2"/>
  <c r="AQ19" i="2"/>
  <c r="AP19" i="2"/>
  <c r="AK19" i="2"/>
  <c r="AI19" i="2"/>
  <c r="AB19" i="2"/>
  <c r="AD19" i="2" s="1"/>
  <c r="Y19" i="2"/>
  <c r="V19" i="2"/>
  <c r="Q19" i="2"/>
  <c r="P19" i="2"/>
  <c r="O19" i="2"/>
  <c r="R19" i="2" s="1"/>
  <c r="N19" i="2"/>
  <c r="M19" i="2"/>
  <c r="X19" i="2" s="1"/>
  <c r="L19" i="2"/>
  <c r="K19" i="2"/>
  <c r="J19" i="2"/>
  <c r="I19" i="2"/>
  <c r="H19" i="2"/>
  <c r="G19" i="2"/>
  <c r="F19" i="2"/>
  <c r="AG19" i="2" s="1"/>
  <c r="E19" i="2"/>
  <c r="D19" i="2"/>
  <c r="C19" i="2"/>
  <c r="B19" i="2"/>
  <c r="AR18" i="2"/>
  <c r="AQ18" i="2"/>
  <c r="AP18" i="2"/>
  <c r="AJ18" i="2"/>
  <c r="AB18" i="2"/>
  <c r="AC18" i="2" s="1"/>
  <c r="Z18" i="2"/>
  <c r="W18" i="2"/>
  <c r="V18" i="2"/>
  <c r="U18" i="2"/>
  <c r="S18" i="2"/>
  <c r="T18" i="2" s="1"/>
  <c r="R18" i="2"/>
  <c r="Q18" i="2"/>
  <c r="P18" i="2"/>
  <c r="O18" i="2"/>
  <c r="N18" i="2"/>
  <c r="M18" i="2"/>
  <c r="X18" i="2" s="1"/>
  <c r="L18" i="2"/>
  <c r="K18" i="2"/>
  <c r="J18" i="2"/>
  <c r="I18" i="2"/>
  <c r="H18" i="2"/>
  <c r="G18" i="2"/>
  <c r="F18" i="2"/>
  <c r="E18" i="2"/>
  <c r="D18" i="2"/>
  <c r="AH18" i="2" s="1"/>
  <c r="B18" i="2"/>
  <c r="AR17" i="2"/>
  <c r="AQ17" i="2"/>
  <c r="AP17" i="2"/>
  <c r="AL17" i="2"/>
  <c r="AI17" i="2"/>
  <c r="AB17" i="2"/>
  <c r="AF17" i="2" s="1"/>
  <c r="Y17" i="2"/>
  <c r="Q17" i="2"/>
  <c r="P17" i="2"/>
  <c r="O17" i="2"/>
  <c r="N17" i="2"/>
  <c r="M17" i="2"/>
  <c r="X17" i="2" s="1"/>
  <c r="L17" i="2"/>
  <c r="W17" i="2" s="1"/>
  <c r="K17" i="2"/>
  <c r="AG17" i="2" s="1"/>
  <c r="J17" i="2"/>
  <c r="I17" i="2"/>
  <c r="H17" i="2"/>
  <c r="G17" i="2"/>
  <c r="F17" i="2"/>
  <c r="E17" i="2"/>
  <c r="D17" i="2"/>
  <c r="AH17" i="2" s="1"/>
  <c r="C17" i="2"/>
  <c r="B17" i="2"/>
  <c r="AR16" i="2"/>
  <c r="AQ16" i="2"/>
  <c r="AP16" i="2"/>
  <c r="AH16" i="2"/>
  <c r="AF16" i="2"/>
  <c r="AB16" i="2"/>
  <c r="AE16" i="2" s="1"/>
  <c r="Y16" i="2"/>
  <c r="Q16" i="2"/>
  <c r="P16" i="2"/>
  <c r="X16" i="2" s="1"/>
  <c r="O16" i="2"/>
  <c r="U16" i="2" s="1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R15" i="2"/>
  <c r="AQ15" i="2"/>
  <c r="AP15" i="2"/>
  <c r="AP37" i="2" s="1"/>
  <c r="AL15" i="2"/>
  <c r="AK15" i="2"/>
  <c r="AJ15" i="2"/>
  <c r="AF15" i="2"/>
  <c r="AE15" i="2"/>
  <c r="AC15" i="2"/>
  <c r="AB15" i="2"/>
  <c r="AD15" i="2" s="1"/>
  <c r="Y15" i="2"/>
  <c r="Q15" i="2"/>
  <c r="P15" i="2"/>
  <c r="X15" i="2" s="1"/>
  <c r="O15" i="2"/>
  <c r="W15" i="2" s="1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R14" i="2"/>
  <c r="AQ14" i="2"/>
  <c r="AP14" i="2"/>
  <c r="AL14" i="2"/>
  <c r="AK14" i="2"/>
  <c r="AJ14" i="2"/>
  <c r="AM14" i="2" s="1"/>
  <c r="AI14" i="2"/>
  <c r="AO14" i="2" s="1"/>
  <c r="AF14" i="2"/>
  <c r="AE14" i="2"/>
  <c r="AD14" i="2"/>
  <c r="AB14" i="2"/>
  <c r="AC14" i="2" s="1"/>
  <c r="Y14" i="2"/>
  <c r="V14" i="2"/>
  <c r="S14" i="2"/>
  <c r="T14" i="2" s="1"/>
  <c r="R14" i="2"/>
  <c r="Q14" i="2"/>
  <c r="P14" i="2"/>
  <c r="O14" i="2"/>
  <c r="W14" i="2" s="1"/>
  <c r="N14" i="2"/>
  <c r="M14" i="2"/>
  <c r="L14" i="2"/>
  <c r="K14" i="2"/>
  <c r="J14" i="2"/>
  <c r="I14" i="2"/>
  <c r="H14" i="2"/>
  <c r="AG14" i="2" s="1"/>
  <c r="G14" i="2"/>
  <c r="F14" i="2"/>
  <c r="E14" i="2"/>
  <c r="D14" i="2"/>
  <c r="U14" i="2" s="1"/>
  <c r="C14" i="2"/>
  <c r="B14" i="2"/>
  <c r="AR13" i="2"/>
  <c r="AQ13" i="2"/>
  <c r="AQ37" i="2" s="1"/>
  <c r="AP13" i="2"/>
  <c r="AF13" i="2"/>
  <c r="AE13" i="2"/>
  <c r="AD13" i="2"/>
  <c r="AC13" i="2"/>
  <c r="AB13" i="2"/>
  <c r="Y13" i="2"/>
  <c r="Q13" i="2"/>
  <c r="P13" i="2"/>
  <c r="O13" i="2"/>
  <c r="N13" i="2"/>
  <c r="M13" i="2"/>
  <c r="X13" i="2" s="1"/>
  <c r="L13" i="2"/>
  <c r="W13" i="2" s="1"/>
  <c r="K13" i="2"/>
  <c r="J13" i="2"/>
  <c r="I13" i="2"/>
  <c r="AH13" i="2" s="1"/>
  <c r="H13" i="2"/>
  <c r="G13" i="2"/>
  <c r="AI13" i="2" s="1"/>
  <c r="F13" i="2"/>
  <c r="E13" i="2"/>
  <c r="D13" i="2"/>
  <c r="C13" i="2"/>
  <c r="B13" i="2"/>
  <c r="AR12" i="2"/>
  <c r="AQ12" i="2"/>
  <c r="AP12" i="2"/>
  <c r="AI12" i="2"/>
  <c r="AH12" i="2"/>
  <c r="AG12" i="2"/>
  <c r="AB12" i="2"/>
  <c r="AD12" i="2" s="1"/>
  <c r="Q12" i="2"/>
  <c r="P12" i="2"/>
  <c r="O12" i="2"/>
  <c r="AK12" i="2" s="1"/>
  <c r="N12" i="2"/>
  <c r="M12" i="2"/>
  <c r="L12" i="2"/>
  <c r="K12" i="2"/>
  <c r="J12" i="2"/>
  <c r="I12" i="2"/>
  <c r="H12" i="2"/>
  <c r="G12" i="2"/>
  <c r="F12" i="2"/>
  <c r="E12" i="2"/>
  <c r="D12" i="2"/>
  <c r="B12" i="2"/>
  <c r="AR11" i="2"/>
  <c r="AQ11" i="2"/>
  <c r="AP11" i="2"/>
  <c r="AL11" i="2"/>
  <c r="AK11" i="2"/>
  <c r="AJ11" i="2"/>
  <c r="AH11" i="2"/>
  <c r="AF11" i="2"/>
  <c r="AC11" i="2"/>
  <c r="AB11" i="2"/>
  <c r="AE11" i="2" s="1"/>
  <c r="Y11" i="2"/>
  <c r="Q11" i="2"/>
  <c r="P11" i="2"/>
  <c r="O11" i="2"/>
  <c r="N11" i="2"/>
  <c r="M11" i="2"/>
  <c r="X11" i="2" s="1"/>
  <c r="L11" i="2"/>
  <c r="W11" i="2" s="1"/>
  <c r="K11" i="2"/>
  <c r="J11" i="2"/>
  <c r="I11" i="2"/>
  <c r="H11" i="2"/>
  <c r="G11" i="2"/>
  <c r="AG11" i="2" s="1"/>
  <c r="AM11" i="2" s="1"/>
  <c r="F11" i="2"/>
  <c r="R11" i="2" s="1"/>
  <c r="E11" i="2"/>
  <c r="D11" i="2"/>
  <c r="C11" i="2"/>
  <c r="B11" i="2"/>
  <c r="AR10" i="2"/>
  <c r="AQ10" i="2"/>
  <c r="AP10" i="2"/>
  <c r="AB10" i="2"/>
  <c r="Q10" i="2"/>
  <c r="P10" i="2"/>
  <c r="O10" i="2"/>
  <c r="N10" i="2"/>
  <c r="M10" i="2"/>
  <c r="X10" i="2" s="1"/>
  <c r="L10" i="2"/>
  <c r="K10" i="2"/>
  <c r="J10" i="2"/>
  <c r="Z10" i="2" s="1"/>
  <c r="I10" i="2"/>
  <c r="H10" i="2"/>
  <c r="G10" i="2"/>
  <c r="F10" i="2"/>
  <c r="AI10" i="2" s="1"/>
  <c r="E10" i="2"/>
  <c r="D10" i="2"/>
  <c r="B10" i="2"/>
  <c r="AR9" i="2"/>
  <c r="AQ9" i="2"/>
  <c r="AP9" i="2"/>
  <c r="AJ9" i="2"/>
  <c r="AI9" i="2"/>
  <c r="AH9" i="2"/>
  <c r="AG9" i="2"/>
  <c r="AM9" i="2" s="1"/>
  <c r="AF9" i="2"/>
  <c r="AE9" i="2"/>
  <c r="AD9" i="2"/>
  <c r="AB9" i="2"/>
  <c r="AC9" i="2" s="1"/>
  <c r="AA9" i="2"/>
  <c r="Y9" i="2"/>
  <c r="Q9" i="2"/>
  <c r="P9" i="2"/>
  <c r="O9" i="2"/>
  <c r="N9" i="2"/>
  <c r="M9" i="2"/>
  <c r="X9" i="2" s="1"/>
  <c r="L9" i="2"/>
  <c r="K9" i="2"/>
  <c r="J9" i="2"/>
  <c r="I9" i="2"/>
  <c r="H9" i="2"/>
  <c r="R9" i="2" s="1"/>
  <c r="G9" i="2"/>
  <c r="F9" i="2"/>
  <c r="E9" i="2"/>
  <c r="D9" i="2"/>
  <c r="Z9" i="2" s="1"/>
  <c r="C9" i="2"/>
  <c r="B9" i="2"/>
  <c r="AR8" i="2"/>
  <c r="AQ8" i="2"/>
  <c r="AP8" i="2"/>
  <c r="AL8" i="2"/>
  <c r="AF8" i="2"/>
  <c r="AE8" i="2"/>
  <c r="AD8" i="2"/>
  <c r="AC8" i="2"/>
  <c r="AB8" i="2"/>
  <c r="Q8" i="2"/>
  <c r="P8" i="2"/>
  <c r="O8" i="2"/>
  <c r="N8" i="2"/>
  <c r="M8" i="2"/>
  <c r="L8" i="2"/>
  <c r="K8" i="2"/>
  <c r="J8" i="2"/>
  <c r="I8" i="2"/>
  <c r="H8" i="2"/>
  <c r="G8" i="2"/>
  <c r="G37" i="2" s="1"/>
  <c r="F8" i="2"/>
  <c r="E8" i="2"/>
  <c r="E37" i="2" s="1"/>
  <c r="D8" i="2"/>
  <c r="AH8" i="2" s="1"/>
  <c r="B8" i="2"/>
  <c r="C7" i="4" s="1"/>
  <c r="C12" i="4" s="1"/>
  <c r="T37" i="1"/>
  <c r="S37" i="1"/>
  <c r="R37" i="1"/>
  <c r="N37" i="1"/>
  <c r="M37" i="1"/>
  <c r="L37" i="1"/>
  <c r="K37" i="1"/>
  <c r="J37" i="1"/>
  <c r="I37" i="1"/>
  <c r="H37" i="1"/>
  <c r="G37" i="1"/>
  <c r="F37" i="1"/>
  <c r="E37" i="1"/>
  <c r="D37" i="1"/>
  <c r="C37" i="1"/>
  <c r="AM34" i="2" l="1"/>
  <c r="AN8" i="2"/>
  <c r="D53" i="4" s="1"/>
  <c r="AI8" i="2"/>
  <c r="AL10" i="2"/>
  <c r="AO10" i="2" s="1"/>
  <c r="W10" i="2"/>
  <c r="Z11" i="2"/>
  <c r="AI11" i="2"/>
  <c r="AO11" i="2" s="1"/>
  <c r="Z22" i="2"/>
  <c r="AF25" i="2"/>
  <c r="AE25" i="2"/>
  <c r="Z28" i="2"/>
  <c r="W34" i="2"/>
  <c r="AN35" i="2"/>
  <c r="W36" i="2"/>
  <c r="S36" i="2"/>
  <c r="T36" i="2" s="1"/>
  <c r="U15" i="2"/>
  <c r="AH15" i="2"/>
  <c r="AN15" i="2" s="1"/>
  <c r="R16" i="2"/>
  <c r="C22" i="2"/>
  <c r="AC25" i="2"/>
  <c r="X34" i="2"/>
  <c r="AO35" i="2"/>
  <c r="AN12" i="2"/>
  <c r="AN9" i="2"/>
  <c r="AA31" i="2"/>
  <c r="R31" i="2"/>
  <c r="AI28" i="2"/>
  <c r="AO28" i="2" s="1"/>
  <c r="AH28" i="2"/>
  <c r="V28" i="2"/>
  <c r="U28" i="2"/>
  <c r="S28" i="2"/>
  <c r="T28" i="2" s="1"/>
  <c r="R28" i="2"/>
  <c r="AK8" i="2"/>
  <c r="AJ8" i="2"/>
  <c r="L37" i="2"/>
  <c r="W8" i="2"/>
  <c r="N37" i="2"/>
  <c r="U13" i="2"/>
  <c r="AC27" i="2"/>
  <c r="AH34" i="2"/>
  <c r="J37" i="2"/>
  <c r="K37" i="2"/>
  <c r="AL19" i="2"/>
  <c r="AO19" i="2" s="1"/>
  <c r="AJ19" i="2"/>
  <c r="AJ12" i="2"/>
  <c r="AM12" i="2" s="1"/>
  <c r="M37" i="2"/>
  <c r="AD10" i="2"/>
  <c r="D39" i="3" s="1"/>
  <c r="AC10" i="2"/>
  <c r="C39" i="3" s="1"/>
  <c r="AA27" i="2"/>
  <c r="F37" i="2"/>
  <c r="AE10" i="2"/>
  <c r="AI29" i="2"/>
  <c r="R29" i="2"/>
  <c r="R35" i="2"/>
  <c r="W35" i="2"/>
  <c r="AK16" i="2"/>
  <c r="AN16" i="2" s="1"/>
  <c r="S19" i="2"/>
  <c r="T19" i="2" s="1"/>
  <c r="R12" i="2"/>
  <c r="U12" i="2"/>
  <c r="V12" i="2"/>
  <c r="AD23" i="2"/>
  <c r="AC23" i="2"/>
  <c r="AF23" i="2"/>
  <c r="AJ36" i="2"/>
  <c r="AM36" i="2" s="1"/>
  <c r="AH10" i="2"/>
  <c r="R17" i="2"/>
  <c r="U23" i="2"/>
  <c r="R23" i="2"/>
  <c r="AH23" i="2"/>
  <c r="AI23" i="2"/>
  <c r="AG23" i="2"/>
  <c r="AM23" i="2" s="1"/>
  <c r="AA30" i="2"/>
  <c r="AK36" i="2"/>
  <c r="AF27" i="2"/>
  <c r="AG31" i="2"/>
  <c r="AI34" i="2"/>
  <c r="AL36" i="2"/>
  <c r="AO36" i="2" s="1"/>
  <c r="S16" i="2"/>
  <c r="T16" i="2" s="1"/>
  <c r="S22" i="2"/>
  <c r="T22" i="2" s="1"/>
  <c r="AG22" i="2"/>
  <c r="AI22" i="2"/>
  <c r="AO22" i="2" s="1"/>
  <c r="AH22" i="2"/>
  <c r="AN22" i="2" s="1"/>
  <c r="R10" i="2"/>
  <c r="B19" i="3"/>
  <c r="R13" i="2"/>
  <c r="AE26" i="2"/>
  <c r="AL12" i="2"/>
  <c r="AO12" i="2" s="1"/>
  <c r="AM30" i="2"/>
  <c r="AF10" i="2"/>
  <c r="AF37" i="2" s="1"/>
  <c r="AL16" i="2"/>
  <c r="AD27" i="2"/>
  <c r="AO30" i="2"/>
  <c r="AE23" i="2"/>
  <c r="X8" i="2"/>
  <c r="S17" i="2"/>
  <c r="T17" i="2" s="1"/>
  <c r="Z8" i="2"/>
  <c r="AA10" i="2"/>
  <c r="Y10" i="2"/>
  <c r="C10" i="2"/>
  <c r="V10" i="2"/>
  <c r="U10" i="2"/>
  <c r="S10" i="2"/>
  <c r="T10" i="2" s="1"/>
  <c r="AJ10" i="2"/>
  <c r="S11" i="2"/>
  <c r="T11" i="2" s="1"/>
  <c r="W19" i="2"/>
  <c r="AA21" i="2"/>
  <c r="S21" i="2"/>
  <c r="T21" i="2" s="1"/>
  <c r="R21" i="2"/>
  <c r="AI21" i="2"/>
  <c r="AO21" i="2" s="1"/>
  <c r="AH21" i="2"/>
  <c r="AN21" i="2" s="1"/>
  <c r="AG21" i="2"/>
  <c r="AM21" i="2" s="1"/>
  <c r="AH27" i="2"/>
  <c r="AN27" i="2" s="1"/>
  <c r="AG27" i="2"/>
  <c r="AM27" i="2" s="1"/>
  <c r="Y27" i="2"/>
  <c r="C27" i="2"/>
  <c r="V27" i="2"/>
  <c r="U27" i="2"/>
  <c r="S27" i="2"/>
  <c r="T27" i="2" s="1"/>
  <c r="R27" i="2"/>
  <c r="AI27" i="2"/>
  <c r="AO27" i="2" s="1"/>
  <c r="AH31" i="2"/>
  <c r="R32" i="2"/>
  <c r="AA34" i="2"/>
  <c r="AJ34" i="2"/>
  <c r="H37" i="2"/>
  <c r="V25" i="2"/>
  <c r="S25" i="2"/>
  <c r="T25" i="2" s="1"/>
  <c r="R25" i="2"/>
  <c r="AH25" i="2"/>
  <c r="AN25" i="2" s="1"/>
  <c r="AI25" i="2"/>
  <c r="AO25" i="2" s="1"/>
  <c r="I37" i="2"/>
  <c r="AE20" i="2"/>
  <c r="AC20" i="2"/>
  <c r="AF20" i="2"/>
  <c r="AD20" i="2"/>
  <c r="AC26" i="2"/>
  <c r="AL32" i="2"/>
  <c r="AO32" i="2" s="1"/>
  <c r="W32" i="2"/>
  <c r="B39" i="3"/>
  <c r="AL9" i="2"/>
  <c r="AL37" i="2" s="1"/>
  <c r="AK9" i="2"/>
  <c r="W9" i="2"/>
  <c r="AK10" i="2"/>
  <c r="X14" i="2"/>
  <c r="V16" i="2"/>
  <c r="AI16" i="2"/>
  <c r="AG16" i="2"/>
  <c r="U17" i="2"/>
  <c r="AL18" i="2"/>
  <c r="AK18" i="2"/>
  <c r="AN18" i="2" s="1"/>
  <c r="Z24" i="2"/>
  <c r="AJ29" i="2"/>
  <c r="AM29" i="2" s="1"/>
  <c r="W29" i="2"/>
  <c r="AL29" i="2"/>
  <c r="AI31" i="2"/>
  <c r="AO31" i="2" s="1"/>
  <c r="W33" i="2"/>
  <c r="AK34" i="2"/>
  <c r="U35" i="2"/>
  <c r="AL31" i="2"/>
  <c r="AK31" i="2"/>
  <c r="W31" i="2"/>
  <c r="S12" i="2"/>
  <c r="T12" i="2" s="1"/>
  <c r="AG10" i="2"/>
  <c r="U36" i="2"/>
  <c r="AG13" i="2"/>
  <c r="AM13" i="2" s="1"/>
  <c r="V17" i="2"/>
  <c r="R22" i="2"/>
  <c r="AA28" i="2"/>
  <c r="AJ31" i="2"/>
  <c r="S34" i="2"/>
  <c r="T34" i="2" s="1"/>
  <c r="AL34" i="2"/>
  <c r="AF12" i="2"/>
  <c r="AE12" i="2"/>
  <c r="E39" i="3" s="1"/>
  <c r="AC12" i="2"/>
  <c r="AC37" i="2" s="1"/>
  <c r="AO9" i="2"/>
  <c r="AA16" i="2"/>
  <c r="AG26" i="2"/>
  <c r="U26" i="2"/>
  <c r="S26" i="2"/>
  <c r="T26" i="2" s="1"/>
  <c r="R26" i="2"/>
  <c r="AI26" i="2"/>
  <c r="S15" i="2"/>
  <c r="T15" i="2" s="1"/>
  <c r="U19" i="2"/>
  <c r="AA11" i="2"/>
  <c r="W12" i="2"/>
  <c r="W16" i="2"/>
  <c r="AJ16" i="2"/>
  <c r="Z19" i="2"/>
  <c r="AA19" i="2"/>
  <c r="U22" i="2"/>
  <c r="AE24" i="2"/>
  <c r="AD24" i="2"/>
  <c r="U25" i="2"/>
  <c r="W26" i="2"/>
  <c r="AK26" i="2"/>
  <c r="AN26" i="2" s="1"/>
  <c r="AL26" i="2"/>
  <c r="AJ26" i="2"/>
  <c r="Z31" i="2"/>
  <c r="V34" i="2"/>
  <c r="AA8" i="2"/>
  <c r="Y8" i="2"/>
  <c r="C8" i="2"/>
  <c r="V8" i="2"/>
  <c r="U8" i="2"/>
  <c r="S8" i="2"/>
  <c r="R8" i="2"/>
  <c r="D37" i="2"/>
  <c r="AB37" i="2"/>
  <c r="AN29" i="2"/>
  <c r="Y18" i="2"/>
  <c r="C18" i="2"/>
  <c r="AI18" i="2"/>
  <c r="AO18" i="2" s="1"/>
  <c r="AG18" i="2"/>
  <c r="AM18" i="2" s="1"/>
  <c r="AA18" i="2"/>
  <c r="AD26" i="2"/>
  <c r="C19" i="3"/>
  <c r="R15" i="2"/>
  <c r="X12" i="2"/>
  <c r="AJ13" i="2"/>
  <c r="V15" i="2"/>
  <c r="V22" i="2"/>
  <c r="AG32" i="2"/>
  <c r="AM32" i="2" s="1"/>
  <c r="R34" i="2"/>
  <c r="S13" i="2"/>
  <c r="T13" i="2" s="1"/>
  <c r="V13" i="2"/>
  <c r="AA13" i="2"/>
  <c r="AK13" i="2"/>
  <c r="AN13" i="2" s="1"/>
  <c r="AG15" i="2"/>
  <c r="AM15" i="2" s="1"/>
  <c r="AM19" i="2"/>
  <c r="V24" i="2"/>
  <c r="U24" i="2"/>
  <c r="S24" i="2"/>
  <c r="T24" i="2" s="1"/>
  <c r="R24" i="2"/>
  <c r="AI24" i="2"/>
  <c r="AG24" i="2"/>
  <c r="AM24" i="2" s="1"/>
  <c r="AH24" i="2"/>
  <c r="Y25" i="2"/>
  <c r="AH32" i="2"/>
  <c r="AN32" i="2" s="1"/>
  <c r="C58" i="4"/>
  <c r="C13" i="4"/>
  <c r="C57" i="4"/>
  <c r="C56" i="4"/>
  <c r="C11" i="4"/>
  <c r="C10" i="4"/>
  <c r="C32" i="4"/>
  <c r="E32" i="4" s="1"/>
  <c r="F32" i="4" s="1"/>
  <c r="E52" i="4"/>
  <c r="D52" i="4"/>
  <c r="C37" i="4"/>
  <c r="E37" i="4" s="1"/>
  <c r="F37" i="4" s="1"/>
  <c r="C52" i="4"/>
  <c r="E51" i="4"/>
  <c r="C31" i="4"/>
  <c r="D51" i="4"/>
  <c r="C27" i="4"/>
  <c r="C26" i="4"/>
  <c r="F47" i="4"/>
  <c r="C25" i="4"/>
  <c r="E47" i="4"/>
  <c r="C24" i="4"/>
  <c r="D47" i="4"/>
  <c r="C23" i="4"/>
  <c r="C47" i="4"/>
  <c r="C35" i="4"/>
  <c r="E35" i="4" s="1"/>
  <c r="F35" i="4" s="1"/>
  <c r="C22" i="4"/>
  <c r="C46" i="4"/>
  <c r="C21" i="4"/>
  <c r="C33" i="4"/>
  <c r="E33" i="4" s="1"/>
  <c r="F33" i="4" s="1"/>
  <c r="G42" i="4"/>
  <c r="C20" i="4"/>
  <c r="C19" i="4"/>
  <c r="C34" i="4"/>
  <c r="E34" i="4" s="1"/>
  <c r="F34" i="4" s="1"/>
  <c r="C18" i="4"/>
  <c r="C15" i="4"/>
  <c r="C14" i="4"/>
  <c r="AG8" i="2"/>
  <c r="AL13" i="2"/>
  <c r="AO13" i="2" s="1"/>
  <c r="Z25" i="2"/>
  <c r="AK30" i="2"/>
  <c r="AN30" i="2" s="1"/>
  <c r="AJ30" i="2"/>
  <c r="W30" i="2"/>
  <c r="Z16" i="2"/>
  <c r="AA17" i="2"/>
  <c r="AC19" i="2"/>
  <c r="AF22" i="2"/>
  <c r="R30" i="2"/>
  <c r="S31" i="2"/>
  <c r="T31" i="2" s="1"/>
  <c r="U33" i="2"/>
  <c r="AK28" i="2"/>
  <c r="U34" i="2"/>
  <c r="S9" i="2"/>
  <c r="T9" i="2" s="1"/>
  <c r="AJ25" i="2"/>
  <c r="AM25" i="2" s="1"/>
  <c r="V33" i="2"/>
  <c r="Z14" i="2"/>
  <c r="AA15" i="2"/>
  <c r="AD18" i="2"/>
  <c r="AE19" i="2"/>
  <c r="AJ24" i="2"/>
  <c r="AK25" i="2"/>
  <c r="S29" i="2"/>
  <c r="T29" i="2" s="1"/>
  <c r="U31" i="2"/>
  <c r="V32" i="2"/>
  <c r="Z36" i="2"/>
  <c r="U11" i="2"/>
  <c r="V11" i="2"/>
  <c r="Z15" i="2"/>
  <c r="U9" i="2"/>
  <c r="AC17" i="2"/>
  <c r="V9" i="2"/>
  <c r="C12" i="2"/>
  <c r="Y12" i="2"/>
  <c r="Z13" i="2"/>
  <c r="AA14" i="2"/>
  <c r="AC16" i="2"/>
  <c r="AD17" i="2"/>
  <c r="AE18" i="2"/>
  <c r="AF19" i="2"/>
  <c r="AG20" i="2"/>
  <c r="AJ23" i="2"/>
  <c r="AK24" i="2"/>
  <c r="AL25" i="2"/>
  <c r="U30" i="2"/>
  <c r="V31" i="2"/>
  <c r="C34" i="2"/>
  <c r="Y34" i="2"/>
  <c r="Z35" i="2"/>
  <c r="AA36" i="2"/>
  <c r="U32" i="2"/>
  <c r="Z12" i="2"/>
  <c r="AD16" i="2"/>
  <c r="AE17" i="2"/>
  <c r="AO17" i="2" s="1"/>
  <c r="AF18" i="2"/>
  <c r="AH20" i="2"/>
  <c r="AN20" i="2" s="1"/>
  <c r="AJ22" i="2"/>
  <c r="AK23" i="2"/>
  <c r="U29" i="2"/>
  <c r="V30" i="2"/>
  <c r="Y33" i="2"/>
  <c r="Z34" i="2"/>
  <c r="Z17" i="2"/>
  <c r="S32" i="2"/>
  <c r="T32" i="2" s="1"/>
  <c r="V35" i="2"/>
  <c r="S30" i="2"/>
  <c r="T30" i="2" s="1"/>
  <c r="AA12" i="2"/>
  <c r="AH19" i="2"/>
  <c r="AN19" i="2" s="1"/>
  <c r="AI20" i="2"/>
  <c r="V29" i="2"/>
  <c r="C32" i="2"/>
  <c r="Y32" i="2"/>
  <c r="C31" i="2"/>
  <c r="Y31" i="2"/>
  <c r="AA33" i="2"/>
  <c r="AK21" i="2"/>
  <c r="C30" i="2"/>
  <c r="Y30" i="2"/>
  <c r="Z30" i="2"/>
  <c r="AD11" i="2"/>
  <c r="AN11" i="2" s="1"/>
  <c r="AJ17" i="2"/>
  <c r="AM17" i="2" s="1"/>
  <c r="Z29" i="2"/>
  <c r="AC32" i="2"/>
  <c r="AD33" i="2"/>
  <c r="AN33" i="2" s="1"/>
  <c r="AH14" i="2"/>
  <c r="AN14" i="2" s="1"/>
  <c r="AI15" i="2"/>
  <c r="AO15" i="2" s="1"/>
  <c r="AK17" i="2"/>
  <c r="AN17" i="2" s="1"/>
  <c r="R20" i="2"/>
  <c r="AH36" i="2"/>
  <c r="AN36" i="2" s="1"/>
  <c r="Z20" i="2"/>
  <c r="AM26" i="2" l="1"/>
  <c r="AO24" i="2"/>
  <c r="AO23" i="2"/>
  <c r="AN28" i="2"/>
  <c r="C38" i="4"/>
  <c r="E31" i="4"/>
  <c r="AN23" i="2"/>
  <c r="AN34" i="2"/>
  <c r="AI37" i="2"/>
  <c r="AO8" i="2"/>
  <c r="AM16" i="2"/>
  <c r="F39" i="3"/>
  <c r="R37" i="2"/>
  <c r="D19" i="3"/>
  <c r="AD37" i="2"/>
  <c r="AM22" i="2"/>
  <c r="AH37" i="2"/>
  <c r="AO16" i="2"/>
  <c r="E19" i="3"/>
  <c r="T8" i="2"/>
  <c r="S37" i="2"/>
  <c r="C25" i="3"/>
  <c r="E25" i="3" s="1"/>
  <c r="F25" i="3" s="1"/>
  <c r="W37" i="2"/>
  <c r="C23" i="3"/>
  <c r="U37" i="2"/>
  <c r="C24" i="3"/>
  <c r="E24" i="3" s="1"/>
  <c r="F24" i="3" s="1"/>
  <c r="V37" i="2"/>
  <c r="AM10" i="2"/>
  <c r="AN31" i="2"/>
  <c r="AJ37" i="2"/>
  <c r="B42" i="4"/>
  <c r="AO34" i="2"/>
  <c r="Y37" i="2"/>
  <c r="C27" i="3"/>
  <c r="E27" i="3" s="1"/>
  <c r="F27" i="3" s="1"/>
  <c r="AO26" i="2"/>
  <c r="AM31" i="2"/>
  <c r="AO20" i="2"/>
  <c r="AG37" i="2"/>
  <c r="AM8" i="2"/>
  <c r="AK37" i="2"/>
  <c r="AA37" i="2"/>
  <c r="C29" i="3"/>
  <c r="E29" i="3" s="1"/>
  <c r="F29" i="3" s="1"/>
  <c r="Z37" i="2"/>
  <c r="C28" i="3"/>
  <c r="E28" i="3" s="1"/>
  <c r="F28" i="3" s="1"/>
  <c r="C36" i="4"/>
  <c r="E36" i="4" s="1"/>
  <c r="F36" i="4" s="1"/>
  <c r="AE37" i="2"/>
  <c r="AO29" i="2"/>
  <c r="AN10" i="2"/>
  <c r="AN37" i="2" s="1"/>
  <c r="AM20" i="2"/>
  <c r="C42" i="4"/>
  <c r="D42" i="4"/>
  <c r="C51" i="4"/>
  <c r="AN24" i="2"/>
  <c r="C26" i="3"/>
  <c r="E26" i="3" s="1"/>
  <c r="F26" i="3" s="1"/>
  <c r="X37" i="2"/>
  <c r="E43" i="3" l="1"/>
  <c r="AM37" i="2"/>
  <c r="B43" i="3"/>
  <c r="C53" i="4"/>
  <c r="G26" i="3"/>
  <c r="G29" i="3"/>
  <c r="G19" i="3"/>
  <c r="F19" i="3"/>
  <c r="H19" i="3"/>
  <c r="T37" i="2"/>
  <c r="F42" i="4"/>
  <c r="E42" i="4"/>
  <c r="G25" i="3"/>
  <c r="D43" i="3"/>
  <c r="AO37" i="2"/>
  <c r="E53" i="4"/>
  <c r="G24" i="3"/>
  <c r="E38" i="4"/>
  <c r="F31" i="4"/>
  <c r="F38" i="4" s="1"/>
  <c r="C43" i="3"/>
  <c r="G28" i="3"/>
  <c r="C30" i="3"/>
  <c r="E23" i="3"/>
  <c r="G27" i="3"/>
  <c r="F23" i="3" l="1"/>
  <c r="E30" i="3"/>
  <c r="F30" i="3" l="1"/>
  <c r="H23" i="3"/>
  <c r="G23" i="3"/>
  <c r="G30" i="3" s="1"/>
  <c r="H28" i="3"/>
  <c r="H24" i="3"/>
  <c r="H26" i="3"/>
  <c r="H29" i="3"/>
  <c r="H27" i="3"/>
  <c r="H25" i="3"/>
  <c r="H30" i="3" l="1"/>
</calcChain>
</file>

<file path=xl/sharedStrings.xml><?xml version="1.0" encoding="utf-8"?>
<sst xmlns="http://schemas.openxmlformats.org/spreadsheetml/2006/main" count="590" uniqueCount="306">
  <si>
    <t>📋 INSTRUCTIONS: Fill in ORANGE cells only for your application. Grey cells are locked (auto-calculated or reference only). Dropdown cells have a pick-list — click the cell to see options. Contact the Migration PMO if you have questions.</t>
  </si>
  <si>
    <t>Application Name</t>
  </si>
  <si>
    <t>Wave / Release</t>
  </si>
  <si>
    <t>DB Size (GB)</t>
  </si>
  <si>
    <t>No. of Tables</t>
  </si>
  <si>
    <t>No. of Stored Procs</t>
  </si>
  <si>
    <t>No. of Views</t>
  </si>
  <si>
    <t>No. of Triggers</t>
  </si>
  <si>
    <t>SQL Agent Jobs</t>
  </si>
  <si>
    <t>Linked Servers</t>
  </si>
  <si>
    <t>CLR Objects</t>
  </si>
  <si>
    <t>SSIS Packages</t>
  </si>
  <si>
    <t>SSRS Reports</t>
  </si>
  <si>
    <t>Informatica
Workflows/Jobs
(No workflow change
— enter count)</t>
  </si>
  <si>
    <t>SSIS Complexity</t>
  </si>
  <si>
    <t>SSRS Strategy</t>
  </si>
  <si>
    <t>SME Notes / Risks</t>
  </si>
  <si>
    <t>Informatica
Job Count</t>
  </si>
  <si>
    <t>Replication
Articles
(Trans+Merge)</t>
  </si>
  <si>
    <t>Snapshot
Publications</t>
  </si>
  <si>
    <t>Replication
Type</t>
  </si>
  <si>
    <t>Reference</t>
  </si>
  <si>
    <t>⬆ ENTER</t>
  </si>
  <si>
    <t>⬆ ENTER count</t>
  </si>
  <si>
    <t>⬆ Dropdown</t>
  </si>
  <si>
    <t>Order Management System</t>
  </si>
  <si>
    <t>Wave 2</t>
  </si>
  <si>
    <t>High</t>
  </si>
  <si>
    <t>EC2 (Lift &amp; Shift)</t>
  </si>
  <si>
    <t>Transactional</t>
  </si>
  <si>
    <t>Billing Engine</t>
  </si>
  <si>
    <t>Customer Portal DB</t>
  </si>
  <si>
    <t>Wave 1</t>
  </si>
  <si>
    <t>Medium</t>
  </si>
  <si>
    <t>AWS QuickSight</t>
  </si>
  <si>
    <t>None</t>
  </si>
  <si>
    <t>Provisioning System</t>
  </si>
  <si>
    <t>Revenue Assurance</t>
  </si>
  <si>
    <t>Wave 4</t>
  </si>
  <si>
    <t>Mixed</t>
  </si>
  <si>
    <t>Fraud Management</t>
  </si>
  <si>
    <t>Power BI</t>
  </si>
  <si>
    <t>Network Inventory DB</t>
  </si>
  <si>
    <t>CRM Integration DB</t>
  </si>
  <si>
    <t>Product Catalogue</t>
  </si>
  <si>
    <t>Low</t>
  </si>
  <si>
    <t>Mediation Platform</t>
  </si>
  <si>
    <t>Wave 3</t>
  </si>
  <si>
    <t>Interconnect Billing</t>
  </si>
  <si>
    <t>Roaming Settlement</t>
  </si>
  <si>
    <t>Dunning &amp; Collections</t>
  </si>
  <si>
    <t>Tax &amp; Compliance DB</t>
  </si>
  <si>
    <t>Contract Management</t>
  </si>
  <si>
    <t>Usage Rating Engine</t>
  </si>
  <si>
    <t>Wholesale Billing</t>
  </si>
  <si>
    <t>Partner Portal DB</t>
  </si>
  <si>
    <t>Workforce Management</t>
  </si>
  <si>
    <t>Service Activation</t>
  </si>
  <si>
    <t>Trouble Ticketing DB</t>
  </si>
  <si>
    <t>SLA Management</t>
  </si>
  <si>
    <t>Analytics Data Mart</t>
  </si>
  <si>
    <t>Regulatory Reporting DB</t>
  </si>
  <si>
    <t>Snapshot</t>
  </si>
  <si>
    <t>Campaign Management</t>
  </si>
  <si>
    <t>Equipment Inventory</t>
  </si>
  <si>
    <t>Payment Gateway DB</t>
  </si>
  <si>
    <t>Reporting Hub</t>
  </si>
  <si>
    <t>MDM Master Data DB</t>
  </si>
  <si>
    <t>TOTALS (auto)</t>
  </si>
  <si>
    <t>Formulas auto-calculate from SME Input sheet values. Orange = SME editable input. Green = calculated output. Hours = Days × 8. AI saving applied per role. Contingency = AI-adj × (1 + buffer%).</t>
  </si>
  <si>
    <t>APP IDENTITY</t>
  </si>
  <si>
    <t>DATABASE PROFILE</t>
  </si>
  <si>
    <t>SQL OBJECT INVENTORY</t>
  </si>
  <si>
    <t>ETL &amp; REPORTING</t>
  </si>
  <si>
    <t>EFFORT TOTALS (hours)</t>
  </si>
  <si>
    <t>INFORMATICA EFFORT (hrs)</t>
  </si>
  <si>
    <t>ENVIRONMENT BREAKDOWN — Data &amp; ETL (hrs)</t>
  </si>
  <si>
    <t>TOTAL BY ENV (hrs)</t>
  </si>
  <si>
    <t>Tier (Auto)</t>
  </si>
  <si>
    <t>DB Size
(GB)</t>
  </si>
  <si>
    <t>Tables</t>
  </si>
  <si>
    <t>Stored
Procs</t>
  </si>
  <si>
    <t>Views</t>
  </si>
  <si>
    <t>Triggers</t>
  </si>
  <si>
    <t>SQL Agent
Jobs</t>
  </si>
  <si>
    <t>Linked
Servers</t>
  </si>
  <si>
    <t>CLR
Objects</t>
  </si>
  <si>
    <t>SSIS
Packages</t>
  </si>
  <si>
    <t>SSRS
Reports</t>
  </si>
  <si>
    <t>Informatica
Workflows/Jobs
(No workflow change
— count for JDBC)</t>
  </si>
  <si>
    <t>SSIS
Complexity</t>
  </si>
  <si>
    <t>Wave</t>
  </si>
  <si>
    <t>Gross
Hours</t>
  </si>
  <si>
    <t>AI-Adj
Hours</t>
  </si>
  <si>
    <t>Hours w/
Contingency</t>
  </si>
  <si>
    <t>Inform.
Dev hrs</t>
  </si>
  <si>
    <t>Inform.
Test hrs</t>
  </si>
  <si>
    <t>Inform.
Prod hrs</t>
  </si>
  <si>
    <t>Inform.
Total hrs</t>
  </si>
  <si>
    <t>Data
Dev hrs</t>
  </si>
  <si>
    <t>Data
Test hrs</t>
  </si>
  <si>
    <t>Data
Prod hrs</t>
  </si>
  <si>
    <t>ETL
Dev hrs</t>
  </si>
  <si>
    <t>ETL
Test hrs</t>
  </si>
  <si>
    <t>ETL
Prod hrs</t>
  </si>
  <si>
    <t>Total
Dev hrs</t>
  </si>
  <si>
    <t>Total
Test hrs</t>
  </si>
  <si>
    <t>Total
Prod hrs</t>
  </si>
  <si>
    <t>Label/Formula</t>
  </si>
  <si>
    <t>⬆ Input</t>
  </si>
  <si>
    <t>Formula</t>
  </si>
  <si>
    <t>Ref SME</t>
  </si>
  <si>
    <t>TOTALS</t>
  </si>
  <si>
    <t>29 Applications  |  SSIS→AWS Glue  |  Informatica: No Change  |  9-Month Rolling  |  GHCP + Devin AI</t>
  </si>
  <si>
    <t>PROGRAMME ASSUMPTIONS  (Orange = editable inputs)</t>
  </si>
  <si>
    <t>Hours per Day (basis)</t>
  </si>
  <si>
    <t>Programme Timeline (months)</t>
  </si>
  <si>
    <t>AI Saving % — Schema/Code/DBA</t>
  </si>
  <si>
    <t>AI Saving % — ETL (SSIS→Glue)</t>
  </si>
  <si>
    <t>AI Saving % — SSRS / BI Work</t>
  </si>
  <si>
    <t>AI Saving % — Testing &amp; QA</t>
  </si>
  <si>
    <t>Contingency Buffer %</t>
  </si>
  <si>
    <t>Parallel Apps in Flight (wave)</t>
  </si>
  <si>
    <t>PROGRAMME TOTALS  (Live — recalculates from App Effort Detail)</t>
  </si>
  <si>
    <t>Total Apps</t>
  </si>
  <si>
    <t>Total DB (GB)</t>
  </si>
  <si>
    <t>Gross Hours</t>
  </si>
  <si>
    <t>AI-Adj Hours</t>
  </si>
  <si>
    <t>Hours w/ Conting.</t>
  </si>
  <si>
    <t>FTE Equiv.</t>
  </si>
  <si>
    <t>Days Equiv.</t>
  </si>
  <si>
    <t>EFFORT BY ROLE  (Hours)</t>
  </si>
  <si>
    <t>Role</t>
  </si>
  <si>
    <t>AI Saving %</t>
  </si>
  <si>
    <t>With Contingency</t>
  </si>
  <si>
    <t>% of Total</t>
  </si>
  <si>
    <t>Solution Architect</t>
  </si>
  <si>
    <t>DBA / Database Engineer</t>
  </si>
  <si>
    <t>ETL Developer (SSIS→Glue)</t>
  </si>
  <si>
    <t>SSRS / BI Developer</t>
  </si>
  <si>
    <t>AWS Infra / DevOps</t>
  </si>
  <si>
    <t>QA / Test Engineer</t>
  </si>
  <si>
    <t>Project Manager</t>
  </si>
  <si>
    <t>TOTAL</t>
  </si>
  <si>
    <t>LEGEND</t>
  </si>
  <si>
    <t xml:space="preserve">  ●  Orange = Editable assumption — change to model different scenarios</t>
  </si>
  <si>
    <t xml:space="preserve">  ●  Blue = Locked programme parameter</t>
  </si>
  <si>
    <t xml:space="preserve">  ●  Green = Calculated output (hours incl. AI saving + contingency)</t>
  </si>
  <si>
    <t>INFORMATICA EFFORT  (Connection update per job × 3 environments)</t>
  </si>
  <si>
    <t>Total Jobs</t>
  </si>
  <si>
    <t>Dev (hrs)</t>
  </si>
  <si>
    <t>Test (hrs)</t>
  </si>
  <si>
    <t>Prod (hrs)</t>
  </si>
  <si>
    <t>All Envs (hrs)</t>
  </si>
  <si>
    <t>TOTAL EFFORT BY ENVIRONMENT  (All layers — hours)</t>
  </si>
  <si>
    <t>Development
(Dev RDS)</t>
  </si>
  <si>
    <t>Test / UAT
(Test RDS)</t>
  </si>
  <si>
    <t>Production
(Prod RDS)</t>
  </si>
  <si>
    <t>Total All
Environments</t>
  </si>
  <si>
    <t>REPLICATION INVENTORY SUMMARY</t>
  </si>
  <si>
    <t>Apps w/ Replication</t>
  </si>
  <si>
    <t>Total Articles
(Trans+Merge)</t>
  </si>
  <si>
    <t>Total Snapshot
Pubs</t>
  </si>
  <si>
    <t>Merge/Snapshot</t>
  </si>
  <si>
    <t>APPLICATION DRILL-DOWN VIEW  —  Select an application to see full effort breakdown</t>
  </si>
  <si>
    <t>SELECT APPLICATION:</t>
  </si>
  <si>
    <t>Click cell C5 to select a different application from the dropdown ▼</t>
  </si>
  <si>
    <t>Matched Row (ref):</t>
  </si>
  <si>
    <t>APPLICATION PROFILE</t>
  </si>
  <si>
    <t>Migration Tier</t>
  </si>
  <si>
    <t>Stored Procedures</t>
  </si>
  <si>
    <t>Informatica Workflows</t>
  </si>
  <si>
    <t>EFFORT BREAKDOWN (HOURS)</t>
  </si>
  <si>
    <t>w/ Contingency</t>
  </si>
  <si>
    <t>DBA / DB Engineer</t>
  </si>
  <si>
    <t>ETL Dev (SSIS→Glue)</t>
  </si>
  <si>
    <t>TOTAL (this app)</t>
  </si>
  <si>
    <t>APPLICATION SUMMARY TOTALS</t>
  </si>
  <si>
    <t>Tier</t>
  </si>
  <si>
    <t>INFORMATICA EFFORT (Hours — by Environment)</t>
  </si>
  <si>
    <t>Metric</t>
  </si>
  <si>
    <t>Total (all envs)</t>
  </si>
  <si>
    <t>Job Count</t>
  </si>
  <si>
    <t>—</t>
  </si>
  <si>
    <t>JDBC Update</t>
  </si>
  <si>
    <t>ENVIRONMENT EFFORT BREAKDOWN (Hours)</t>
  </si>
  <si>
    <t>Layer</t>
  </si>
  <si>
    <t>Data Migration</t>
  </si>
  <si>
    <t>ETL (Glue)</t>
  </si>
  <si>
    <t>Total (all)</t>
  </si>
  <si>
    <t>SQL SERVER REPLICATION</t>
  </si>
  <si>
    <t>Replication Type</t>
  </si>
  <si>
    <t>Replication Articles (Trans+Merge)</t>
  </si>
  <si>
    <t>Snapshot Publications</t>
  </si>
  <si>
    <t>Activity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</si>
  <si>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</si>
  <si>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</si>
  <si>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</si>
  <si>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</si>
  <si>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</si>
  <si>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</si>
  <si>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</si>
  <si>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</si>
  <si>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</si>
  <si>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PHASE 0 — FOUNDATION &amp; PLANNING</t>
  </si>
  <si>
    <t xml:space="preserve">  AWS Landing Zone, VPC, Direct Connect</t>
  </si>
  <si>
    <t>█</t>
  </si>
  <si>
    <t xml:space="preserve">  S3 Backup Bucket + IAM + DMS Instance Setup</t>
  </si>
  <si>
    <t xml:space="preserve">  SCT Assessment (all 29 apps)</t>
  </si>
  <si>
    <t xml:space="preserve">  SSIS Inventory + SSRS Audit</t>
  </si>
  <si>
    <t xml:space="preserve">  Reusable Artefact Creation (scripts/templates)</t>
  </si>
  <si>
    <t xml:space="preserve">  AWS CDK Pipeline + Secrets Manager Setup</t>
  </si>
  <si>
    <t xml:space="preserve">  Team Training (RDS, Glue, CDK)</t>
  </si>
  <si>
    <t>PHASE 1 — WAVE 1: SIMPLE APPS (~9 apps)</t>
  </si>
  <si>
    <t xml:space="preserve">  Backup/Restore (T1 Apps)</t>
  </si>
  <si>
    <t xml:space="preserve">  DMS CDC Setup + Monitoring</t>
  </si>
  <si>
    <t xml:space="preserve">  SSIS → Glue (Low/Medium)</t>
  </si>
  <si>
    <t xml:space="preserve">  SSRS EC2 Lift / QuickSight Build</t>
  </si>
  <si>
    <t xml:space="preserve">  UAT + Smoke Test</t>
  </si>
  <si>
    <t xml:space="preserve">  Cutover &amp; Go-Live (Wave 1)</t>
  </si>
  <si>
    <t>PHASE 2 — WAVE 2: MODERATE APPS (~8 apps)</t>
  </si>
  <si>
    <t xml:space="preserve">  Backup/Restore + Differential Chain</t>
  </si>
  <si>
    <t xml:space="preserve">  DMS CDC + Linked Server Remediation</t>
  </si>
  <si>
    <t xml:space="preserve">  SSIS → Glue (Medium Complexity)</t>
  </si>
  <si>
    <t xml:space="preserve">  SSRS EC2 + QuickSight</t>
  </si>
  <si>
    <t xml:space="preserve">  Performance Testing (HammerDB)</t>
  </si>
  <si>
    <t xml:space="preserve">  Cutover &amp; Go-Live (Wave 2)</t>
  </si>
  <si>
    <t>PHASE 3 — WAVE 3: MOD-COMPLEX APPS (~8 apps)</t>
  </si>
  <si>
    <t xml:space="preserve">  Backup/Restore + S3 Transfer Accel.</t>
  </si>
  <si>
    <t xml:space="preserve">  CLR Object Remediation</t>
  </si>
  <si>
    <t xml:space="preserve">  SSIS → Glue (High Complexity)</t>
  </si>
  <si>
    <t xml:space="preserve">  Informatica JDBC Repoint (UAT)</t>
  </si>
  <si>
    <t xml:space="preserve">  SSRS Power BI + EC2</t>
  </si>
  <si>
    <t xml:space="preserve">  UAT + Load Test</t>
  </si>
  <si>
    <t xml:space="preserve">  Cutover &amp; Go-Live (Wave 3)</t>
  </si>
  <si>
    <t>PHASE 4 — WAVE 4: COMPLEX APPS (~4 apps)</t>
  </si>
  <si>
    <t xml:space="preserve">  Differential Backup Chain + Restore</t>
  </si>
  <si>
    <t xml:space="preserve">  CLR + Linked Server Final Remediation</t>
  </si>
  <si>
    <t xml:space="preserve">  SSIS → Glue (High + Step Functions)</t>
  </si>
  <si>
    <t xml:space="preserve">  SSRS Power BI Executive + EC2 Ops</t>
  </si>
  <si>
    <t xml:space="preserve">  Full Regression + 5-Day Parallel Run</t>
  </si>
  <si>
    <t xml:space="preserve">  Cutover &amp; Go-Live (Wave 4)</t>
  </si>
  <si>
    <t>PHASE 5 — STABILISATION &amp; CLOSURE</t>
  </si>
  <si>
    <t xml:space="preserve">  30-Day Hypercare Monitoring</t>
  </si>
  <si>
    <t xml:space="preserve">  Reserved Instance Purchase</t>
  </si>
  <si>
    <t xml:space="preserve">  On-Prem Decommission Planning</t>
  </si>
  <si>
    <t xml:space="preserve">  Final Documentation + BAU Handover</t>
  </si>
  <si>
    <t xml:space="preserve">  Post-Migration Optimisation Review</t>
  </si>
  <si>
    <t xml:space="preserve">  ■ = Active in this month     Bars are indicative; refine from App Inventory wave assignments</t>
  </si>
  <si>
    <t>DATABASE MIGRATION RATES (per unit)</t>
  </si>
  <si>
    <t>Rate Driver</t>
  </si>
  <si>
    <t>Base Rate</t>
  </si>
  <si>
    <t>Unit</t>
  </si>
  <si>
    <t>Notes</t>
  </si>
  <si>
    <t>Schema/object base (per 100 GB)</t>
  </si>
  <si>
    <t>hrs</t>
  </si>
  <si>
    <t>AWS SCT review + object remediation; GHCP accelerated (was 0.5 days)</t>
  </si>
  <si>
    <t>Data migration (per 100 GB)</t>
  </si>
  <si>
    <t>DMS CDC setup + monitoring; backup/restore is the bulk method</t>
  </si>
  <si>
    <t>Stored procedure remediation (per SP)</t>
  </si>
  <si>
    <t>SQL dialect fixes for RDS-incompatible patterns; GHCP accelerated</t>
  </si>
  <si>
    <t>View conversion (per view)</t>
  </si>
  <si>
    <t>Mostly unchanged in backup/restore; flags only for linked server refs</t>
  </si>
  <si>
    <t>Trigger conversion (per trigger)</t>
  </si>
  <si>
    <t>Logic validation required post-restore</t>
  </si>
  <si>
    <t>SQL Agent Job → EventBridge (per job)</t>
  </si>
  <si>
    <t>GHCP generates CDK EventBridge constructs from Agent job definitions</t>
  </si>
  <si>
    <t>Linked server removal (per linked svr)</t>
  </si>
  <si>
    <t>Cross-DB query refactor; architect-guided pattern</t>
  </si>
  <si>
    <t>CLR object rewrite (per CLR)</t>
  </si>
  <si>
    <t>Rewrite to T-SQL stored proc or AWS Lambda; architect sign-off required</t>
  </si>
  <si>
    <t>ETL MIGRATION  —  SSIS → AWS GLUE</t>
  </si>
  <si>
    <t>SSIS Low complexity (per package)</t>
  </si>
  <si>
    <t>Simple copy; Glue Studio Visual ETL; GHCP generates (was 0.5 days)</t>
  </si>
  <si>
    <t>SSIS Medium complexity (per package)</t>
  </si>
  <si>
    <t>Transforms, lookups; Glue PySpark from template (was 1.0 day)</t>
  </si>
  <si>
    <t>SSIS High complexity (per package)</t>
  </si>
  <si>
    <t>Loops, dynamic SQL, error handling; Glue PySpark + Step Functions (was 2.0 days)</t>
  </si>
  <si>
    <t>Informatica JDBC repoint (per app)</t>
  </si>
  <si>
    <t>Config-only; JDBC connection string update in PowerCenter — no workflow change (was 0.1 days)</t>
  </si>
  <si>
    <t>SSRS REPORTING MIGRATION</t>
  </si>
  <si>
    <t>SSRS → EC2 Lift &amp; Shift (per report)</t>
  </si>
  <si>
    <t>SSRS on Windows EC2; connection repointed to RDS endpoint</t>
  </si>
  <si>
    <t>SSRS → AWS QuickSight (per report)</t>
  </si>
  <si>
    <t>Dataset + visual rebuild in QuickSight; SPICE layer for performance</t>
  </si>
  <si>
    <t>SSRS → Power BI (per report)</t>
  </si>
  <si>
    <t>Power BI Desktop → Service; DirectQuery or Import to RDS</t>
  </si>
  <si>
    <t>SSRS Decommission (per report)</t>
  </si>
  <si>
    <t>Access log audit; archive and remove unused reports</t>
  </si>
  <si>
    <t>INFRASTRUCTURE &amp; DELIVERY</t>
  </si>
  <si>
    <t>AWS infra base per application</t>
  </si>
  <si>
    <t>VPC, SG, RDS instance, Secrets Mgr, DMS, CloudWatch setup</t>
  </si>
  <si>
    <t>AWS infra per 100 GB (DMS, storage)</t>
  </si>
  <si>
    <t>DMS replication, S3 storage, CloudWatch alarms</t>
  </si>
  <si>
    <t>QA effort multiplier (of tech total)</t>
  </si>
  <si>
    <t>ratio</t>
  </si>
  <si>
    <t>Schema + ETL + SSRS + infra; includes data integrity + load testing</t>
  </si>
  <si>
    <t>PM effort multiplier</t>
  </si>
  <si>
    <t>Status, risk, stakeholder, wave coordination</t>
  </si>
  <si>
    <t>Solution Architect multiplier</t>
  </si>
  <si>
    <t>Design governance, CLR patterns, cutover oversight</t>
  </si>
  <si>
    <t>Hours per day (basis)</t>
  </si>
  <si>
    <t>All effort calculations multiply days × 8 for hours</t>
  </si>
  <si>
    <t>Contingency buffer</t>
  </si>
  <si>
    <t>percent</t>
  </si>
  <si>
    <t>Applied to AI-adjusted effort across all 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</si>
</sst>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\%"/>
    <numFmt numFmtId="166" formatCode="0.0"/>
    <numFmt numFmtId="167" formatCode="0.0%"/>
  </numFmts>
  <fonts count="44" x14ac:knownFonts="1">
    <font>
      <sz val="11"/>
      <color theme="1"/>
      <name val="Calibri"/>
      <family val="2"/>
      <charset val="1"/>
    </font>
    <font>
      <i/>
      <sz val="9"/>
      <color rgb="FF1F3864"/>
      <name val="Arial"/>
      <charset val="1"/>
    </font>
    <font>
      <b/>
      <sz val="8"/>
      <color rgb="FFFFFFFF"/>
      <name val="Arial"/>
      <charset val="1"/>
    </font>
    <font>
      <b/>
      <sz val="7"/>
      <color rgb="FF595959"/>
      <name val="Arial"/>
      <charset val="1"/>
    </font>
    <font>
      <b/>
      <sz val="7"/>
      <color rgb="FFFF6600"/>
      <name val="Arial"/>
      <charset val="1"/>
    </font>
    <font>
      <b/>
      <sz val="9"/>
      <color rgb="FFFF6600"/>
      <name val="Arial"/>
      <charset val="1"/>
    </font>
    <font>
      <sz val="9"/>
      <color rgb="FFFF6600"/>
      <name val="Arial"/>
      <charset val="1"/>
    </font>
    <font>
      <b/>
      <sz val="9"/>
      <color rgb="FFFFFFFF"/>
      <name val="Arial"/>
      <charset val="1"/>
    </font>
    <font>
      <b/>
      <sz val="7"/>
      <color rgb="FF2E75B6"/>
      <name val="Arial"/>
      <charset val="1"/>
    </font>
    <font>
      <b/>
      <sz val="7"/>
      <color rgb="FF196419"/>
      <name val="Arial"/>
      <charset val="1"/>
    </font>
    <font>
      <b/>
      <sz val="9"/>
      <color rgb="FF1F3864"/>
      <name val="Arial"/>
      <charset val="1"/>
    </font>
    <font>
      <b/>
      <sz val="9"/>
      <color rgb="FF2E75B6"/>
      <name val="Arial"/>
      <charset val="1"/>
    </font>
    <font>
      <b/>
      <sz val="9"/>
      <color rgb="FF196419"/>
      <name val="Arial"/>
      <charset val="1"/>
    </font>
    <font>
      <sz val="9"/>
      <color rgb="FF196419"/>
      <name val="Arial"/>
      <charset val="1"/>
    </font>
    <font>
      <sz val="9"/>
      <color rgb="FF2E75B6"/>
      <name val="Arial"/>
      <charset val="1"/>
    </font>
    <font>
      <b/>
      <sz val="10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FFFFFF"/>
      <name val="Arial"/>
      <charset val="1"/>
    </font>
    <font>
      <sz val="9"/>
      <name val="Arial"/>
      <charset val="1"/>
    </font>
    <font>
      <b/>
      <sz val="10"/>
      <color rgb="FF2E75B6"/>
      <name val="Arial"/>
      <charset val="1"/>
    </font>
    <font>
      <b/>
      <sz val="10"/>
      <color rgb="FFFF6600"/>
      <name val="Arial"/>
      <charset val="1"/>
    </font>
    <font>
      <b/>
      <sz val="16"/>
      <color rgb="FF1F3864"/>
      <name val="Arial"/>
      <charset val="1"/>
    </font>
    <font>
      <b/>
      <sz val="9"/>
      <name val="Arial"/>
      <charset val="1"/>
    </font>
    <font>
      <b/>
      <sz val="14"/>
      <color rgb="FF1F3864"/>
      <name val="Arial"/>
      <charset val="1"/>
    </font>
    <font>
      <b/>
      <sz val="16"/>
      <color rgb="FF375623"/>
      <name val="Arial"/>
      <charset val="1"/>
    </font>
    <font>
      <b/>
      <sz val="16"/>
      <color rgb="FF2E75B6"/>
      <name val="Arial"/>
      <charset val="1"/>
    </font>
    <font>
      <b/>
      <sz val="16"/>
      <color rgb="FFC00000"/>
      <name val="Arial"/>
      <charset val="1"/>
    </font>
    <font>
      <b/>
      <sz val="16"/>
      <color rgb="FFFFFFFF"/>
      <name val="Arial"/>
      <charset val="1"/>
    </font>
    <font>
      <b/>
      <sz val="14"/>
      <color rgb="FFFFFFFF"/>
      <name val="Arial"/>
      <charset val="1"/>
    </font>
    <font>
      <b/>
      <sz val="11"/>
      <color rgb="FF1F3864"/>
      <name val="Arial"/>
      <charset val="1"/>
    </font>
    <font>
      <b/>
      <sz val="11"/>
      <color rgb="FFFF6600"/>
      <name val="Arial"/>
      <charset val="1"/>
    </font>
    <font>
      <i/>
      <sz val="9"/>
      <color rgb="FF595959"/>
      <name val="Arial"/>
      <charset val="1"/>
    </font>
    <font>
      <i/>
      <sz val="8"/>
      <color rgb="FF595959"/>
      <name val="Arial"/>
      <charset val="1"/>
    </font>
    <font>
      <sz val="8"/>
      <color rgb="FF595959"/>
      <name val="Arial"/>
      <charset val="1"/>
    </font>
    <font>
      <sz val="10"/>
      <color rgb="FF1F3864"/>
      <name val="Arial"/>
      <charset val="1"/>
    </font>
    <font>
      <sz val="9"/>
      <color rgb="FF1F3864"/>
      <name val="Arial"/>
      <charset val="1"/>
    </font>
    <font>
      <b/>
      <sz val="10"/>
      <color rgb="FF1F3864"/>
      <name val="Arial"/>
      <charset val="1"/>
    </font>
    <font>
      <sz val="14"/>
      <color rgb="FF2E75B6"/>
      <name val="Arial"/>
      <charset val="1"/>
    </font>
    <font>
      <sz val="14"/>
      <color rgb="FF375623"/>
      <name val="Arial"/>
      <charset val="1"/>
    </font>
    <font>
      <sz val="14"/>
      <color rgb="FF7030A0"/>
      <name val="Arial"/>
      <charset val="1"/>
    </font>
    <font>
      <sz val="14"/>
      <color rgb="FFC00000"/>
      <name val="Arial"/>
      <charset val="1"/>
    </font>
    <font>
      <sz val="14"/>
      <color rgb="FF1F3864"/>
      <name val="Arial"/>
      <charset val="1"/>
    </font>
    <font>
      <sz val="14"/>
      <color rgb="FF595959"/>
      <name val="Arial"/>
      <charset val="1"/>
    </font>
    <font>
      <b/>
      <sz val="13"/>
      <color rgb="FFFFFFFF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D9E1F2"/>
      </patternFill>
    </fill>
    <fill>
      <patternFill patternType="solid">
        <fgColor rgb="FFEDEDED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196419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FFFFFF"/>
        <bgColor rgb="FFF0FFF0"/>
      </patternFill>
    </fill>
    <fill>
      <patternFill patternType="solid">
        <fgColor rgb="FFBDD7EE"/>
        <bgColor rgb="FFCCCCCC"/>
      </patternFill>
    </fill>
    <fill>
      <patternFill patternType="solid">
        <fgColor rgb="FFE2EFDA"/>
        <bgColor rgb="FFEDEDED"/>
      </patternFill>
    </fill>
    <fill>
      <patternFill patternType="solid">
        <fgColor rgb="FFF0FFF0"/>
        <bgColor rgb="FFF5F5F5"/>
      </patternFill>
    </fill>
    <fill>
      <patternFill patternType="solid">
        <fgColor rgb="FFF2F2F2"/>
        <bgColor rgb="FFF5F5F5"/>
      </patternFill>
    </fill>
    <fill>
      <patternFill patternType="solid">
        <fgColor rgb="FFF5F5F5"/>
        <bgColor rgb="FFF2F2F2"/>
      </patternFill>
    </fill>
    <fill>
      <patternFill patternType="solid">
        <fgColor rgb="FFE8D5F5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D6E4F0"/>
      </patternFill>
    </fill>
    <fill>
      <patternFill patternType="solid">
        <fgColor rgb="FF595959"/>
        <bgColor rgb="FF375623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3" fillId="12" borderId="2" xfId="0" applyFont="1" applyFill="1" applyBorder="1"/>
    <xf numFmtId="0" fontId="14" fillId="11" borderId="2" xfId="0" applyFont="1" applyFill="1" applyBorder="1"/>
    <xf numFmtId="0" fontId="6" fillId="5" borderId="2" xfId="0" applyFont="1" applyFill="1" applyBorder="1"/>
    <xf numFmtId="0" fontId="7" fillId="6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left" vertical="center" wrapText="1"/>
    </xf>
    <xf numFmtId="0" fontId="17" fillId="6" borderId="0" xfId="0" applyFont="1" applyFill="1" applyAlignment="1">
      <alignment horizontal="left" vertical="center" wrapText="1"/>
    </xf>
    <xf numFmtId="0" fontId="16" fillId="6" borderId="0" xfId="0" applyFont="1" applyFill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0" fillId="2" borderId="0" xfId="0" applyFill="1"/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10" borderId="0" xfId="0" applyFont="1" applyFill="1" applyAlignment="1">
      <alignment horizontal="center" vertical="center" wrapText="1"/>
    </xf>
    <xf numFmtId="0" fontId="0" fillId="10" borderId="0" xfId="0" applyFill="1"/>
    <xf numFmtId="0" fontId="7" fillId="10" borderId="0" xfId="0" applyFont="1" applyFill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 wrapText="1"/>
    </xf>
    <xf numFmtId="3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64" fontId="12" fillId="12" borderId="1" xfId="0" applyNumberFormat="1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164" fontId="13" fillId="12" borderId="1" xfId="0" applyNumberFormat="1" applyFont="1" applyFill="1" applyBorder="1" applyAlignment="1">
      <alignment horizontal="center" vertical="center" wrapText="1"/>
    </xf>
    <xf numFmtId="3" fontId="14" fillId="11" borderId="1" xfId="0" applyNumberFormat="1" applyFont="1" applyFill="1" applyBorder="1" applyAlignment="1">
      <alignment horizontal="center" vertical="center" wrapText="1"/>
    </xf>
    <xf numFmtId="164" fontId="7" fillId="7" borderId="1" xfId="0" applyNumberFormat="1" applyFont="1" applyFill="1" applyBorder="1" applyAlignment="1">
      <alignment horizontal="center" vertical="center" wrapText="1"/>
    </xf>
    <xf numFmtId="164" fontId="7" fillId="9" borderId="1" xfId="0" applyNumberFormat="1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left" vertical="center" wrapText="1"/>
    </xf>
    <xf numFmtId="164" fontId="13" fillId="13" borderId="1" xfId="0" applyNumberFormat="1" applyFont="1" applyFill="1" applyBorder="1" applyAlignment="1">
      <alignment horizontal="center" vertical="center" wrapText="1"/>
    </xf>
    <xf numFmtId="3" fontId="14" fillId="3" borderId="1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0" fillId="6" borderId="0" xfId="0" applyFill="1"/>
    <xf numFmtId="0" fontId="18" fillId="3" borderId="1" xfId="0" applyFont="1" applyFill="1" applyBorder="1" applyAlignment="1">
      <alignment horizontal="left" vertical="center" wrapText="1"/>
    </xf>
    <xf numFmtId="0" fontId="19" fillId="11" borderId="1" xfId="0" applyFont="1" applyFill="1" applyBorder="1" applyAlignment="1">
      <alignment horizontal="center" vertical="center" wrapText="1"/>
    </xf>
    <xf numFmtId="165" fontId="20" fillId="5" borderId="1" xfId="0" applyNumberFormat="1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3" fontId="21" fillId="12" borderId="3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3" fontId="18" fillId="3" borderId="1" xfId="0" applyNumberFormat="1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center" vertical="center" wrapText="1"/>
    </xf>
    <xf numFmtId="3" fontId="12" fillId="12" borderId="1" xfId="0" applyNumberFormat="1" applyFont="1" applyFill="1" applyBorder="1" applyAlignment="1">
      <alignment horizontal="center" vertical="center" wrapText="1"/>
    </xf>
    <xf numFmtId="166" fontId="18" fillId="3" borderId="1" xfId="0" applyNumberFormat="1" applyFont="1" applyFill="1" applyBorder="1" applyAlignment="1">
      <alignment horizontal="center" vertical="center" wrapText="1"/>
    </xf>
    <xf numFmtId="167" fontId="18" fillId="3" borderId="1" xfId="0" applyNumberFormat="1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left" vertical="center" wrapText="1"/>
    </xf>
    <xf numFmtId="3" fontId="18" fillId="10" borderId="1" xfId="0" applyNumberFormat="1" applyFont="1" applyFill="1" applyBorder="1" applyAlignment="1">
      <alignment horizontal="center" vertical="center" wrapText="1"/>
    </xf>
    <xf numFmtId="166" fontId="18" fillId="10" borderId="1" xfId="0" applyNumberFormat="1" applyFont="1" applyFill="1" applyBorder="1" applyAlignment="1">
      <alignment horizontal="center" vertical="center" wrapText="1"/>
    </xf>
    <xf numFmtId="167" fontId="18" fillId="10" borderId="1" xfId="0" applyNumberFormat="1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167" fontId="15" fillId="2" borderId="1" xfId="0" applyNumberFormat="1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164" fontId="23" fillId="12" borderId="3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64" fontId="24" fillId="12" borderId="3" xfId="0" applyNumberFormat="1" applyFont="1" applyFill="1" applyBorder="1" applyAlignment="1">
      <alignment horizontal="center" vertical="center" wrapText="1"/>
    </xf>
    <xf numFmtId="164" fontId="25" fillId="12" borderId="3" xfId="0" applyNumberFormat="1" applyFont="1" applyFill="1" applyBorder="1" applyAlignment="1">
      <alignment horizontal="center" vertical="center" wrapText="1"/>
    </xf>
    <xf numFmtId="164" fontId="26" fillId="12" borderId="3" xfId="0" applyNumberFormat="1" applyFont="1" applyFill="1" applyBorder="1" applyAlignment="1">
      <alignment horizontal="center" vertical="center" wrapText="1"/>
    </xf>
    <xf numFmtId="164" fontId="27" fillId="5" borderId="3" xfId="0" applyNumberFormat="1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3" fontId="23" fillId="12" borderId="1" xfId="0" applyNumberFormat="1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2" fillId="0" borderId="0" xfId="0" applyFont="1"/>
    <xf numFmtId="0" fontId="33" fillId="0" borderId="0" xfId="0" applyFont="1"/>
    <xf numFmtId="0" fontId="22" fillId="11" borderId="1" xfId="0" applyFont="1" applyFill="1" applyBorder="1" applyAlignment="1">
      <alignment horizontal="left" vertical="center" wrapText="1"/>
    </xf>
    <xf numFmtId="164" fontId="18" fillId="3" borderId="1" xfId="0" applyNumberFormat="1" applyFont="1" applyFill="1" applyBorder="1" applyAlignment="1">
      <alignment horizontal="center" vertical="center" wrapText="1"/>
    </xf>
    <xf numFmtId="164" fontId="18" fillId="12" borderId="1" xfId="0" applyNumberFormat="1" applyFont="1" applyFill="1" applyBorder="1" applyAlignment="1">
      <alignment horizontal="center" vertical="center" wrapText="1"/>
    </xf>
    <xf numFmtId="164" fontId="18" fillId="10" borderId="1" xfId="0" applyNumberFormat="1" applyFont="1" applyFill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horizontal="center" vertical="center" wrapText="1"/>
    </xf>
    <xf numFmtId="167" fontId="23" fillId="12" borderId="3" xfId="0" applyNumberFormat="1" applyFont="1" applyFill="1" applyBorder="1" applyAlignment="1">
      <alignment horizontal="center" vertical="center" wrapText="1"/>
    </xf>
    <xf numFmtId="0" fontId="23" fillId="12" borderId="3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22" fillId="14" borderId="1" xfId="0" applyFont="1" applyFill="1" applyBorder="1" applyAlignment="1">
      <alignment horizontal="left" vertical="center" wrapText="1"/>
    </xf>
    <xf numFmtId="0" fontId="18" fillId="15" borderId="1" xfId="0" applyFont="1" applyFill="1" applyBorder="1" applyAlignment="1">
      <alignment horizontal="left" vertical="center" wrapText="1"/>
    </xf>
    <xf numFmtId="0" fontId="37" fillId="11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38" fillId="12" borderId="1" xfId="0" applyFont="1" applyFill="1" applyBorder="1" applyAlignment="1">
      <alignment horizontal="center" vertical="center" wrapText="1"/>
    </xf>
    <xf numFmtId="0" fontId="39" fillId="16" borderId="1" xfId="0" applyFont="1" applyFill="1" applyBorder="1" applyAlignment="1">
      <alignment horizontal="center" vertical="center" wrapText="1"/>
    </xf>
    <xf numFmtId="0" fontId="40" fillId="17" borderId="1" xfId="0" applyFont="1" applyFill="1" applyBorder="1" applyAlignment="1">
      <alignment horizontal="center" vertical="center" wrapText="1"/>
    </xf>
    <xf numFmtId="0" fontId="41" fillId="18" borderId="1" xfId="0" applyFont="1" applyFill="1" applyBorder="1" applyAlignment="1">
      <alignment horizontal="center" vertical="center" wrapText="1"/>
    </xf>
    <xf numFmtId="0" fontId="42" fillId="4" borderId="1" xfId="0" applyFont="1" applyFill="1" applyBorder="1" applyAlignment="1">
      <alignment horizontal="center" vertical="center" wrapText="1"/>
    </xf>
    <xf numFmtId="0" fontId="43" fillId="2" borderId="0" xfId="0" applyFont="1" applyFill="1" applyAlignment="1">
      <alignment horizontal="center" vertical="center" wrapText="1"/>
    </xf>
    <xf numFmtId="0" fontId="32" fillId="3" borderId="1" xfId="0" applyFont="1" applyFill="1" applyBorder="1" applyAlignment="1">
      <alignment horizontal="left" vertical="center" wrapText="1"/>
    </xf>
    <xf numFmtId="0" fontId="18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30" fillId="5" borderId="3" xfId="0" applyFont="1" applyFill="1" applyBorder="1" applyAlignment="1">
      <alignment horizontal="left" vertical="center" wrapText="1"/>
    </xf>
    <xf numFmtId="0" fontId="0" fillId="0" borderId="0" xfId="0"/>
    <xf numFmtId="0" fontId="15" fillId="6" borderId="0" xfId="0" applyFont="1" applyFill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vertical="center" wrapText="1"/>
    </xf>
    <xf numFmtId="3" fontId="10" fillId="10" borderId="1" xfId="0" applyNumberFormat="1" applyFont="1" applyFill="1" applyBorder="1" applyAlignment="1">
      <alignment horizontal="left" vertical="center" wrapText="1"/>
    </xf>
    <xf numFmtId="0" fontId="15" fillId="7" borderId="0" xfId="0" applyFont="1" applyFill="1" applyAlignment="1">
      <alignment horizontal="left" vertical="center" wrapText="1"/>
    </xf>
    <xf numFmtId="3" fontId="34" fillId="10" borderId="1" xfId="0" applyNumberFormat="1" applyFont="1" applyFill="1" applyBorder="1" applyAlignment="1">
      <alignment horizontal="center" vertical="center" wrapText="1"/>
    </xf>
    <xf numFmtId="3" fontId="34" fillId="14" borderId="1" xfId="0" applyNumberFormat="1" applyFont="1" applyFill="1" applyBorder="1" applyAlignment="1">
      <alignment horizontal="center" vertical="center" wrapText="1"/>
    </xf>
    <xf numFmtId="0" fontId="15" fillId="9" borderId="0" xfId="0" applyFont="1" applyFill="1" applyAlignment="1">
      <alignment horizontal="left" vertical="center" wrapText="1"/>
    </xf>
    <xf numFmtId="0" fontId="36" fillId="10" borderId="1" xfId="0" applyFont="1" applyFill="1" applyBorder="1" applyAlignment="1">
      <alignment horizontal="left" vertical="center" wrapText="1"/>
    </xf>
    <xf numFmtId="3" fontId="36" fillId="14" borderId="1" xfId="0" applyNumberFormat="1" applyFont="1" applyFill="1" applyBorder="1" applyAlignment="1">
      <alignment horizontal="left" vertical="center" wrapText="1"/>
    </xf>
    <xf numFmtId="3" fontId="36" fillId="10" borderId="1" xfId="0" applyNumberFormat="1" applyFont="1" applyFill="1" applyBorder="1" applyAlignment="1">
      <alignment horizontal="left" vertical="center" wrapText="1"/>
    </xf>
    <xf numFmtId="0" fontId="15" fillId="6" borderId="2" xfId="0" applyFont="1" applyFill="1" applyBorder="1" applyAlignment="1">
      <alignment horizontal="left" vertical="center" wrapText="1"/>
    </xf>
    <xf numFmtId="0" fontId="15" fillId="7" borderId="2" xfId="0" applyFont="1" applyFill="1" applyBorder="1" applyAlignment="1">
      <alignment horizontal="left" vertical="center" wrapText="1"/>
    </xf>
    <xf numFmtId="0" fontId="15" fillId="8" borderId="2" xfId="0" applyFont="1" applyFill="1" applyBorder="1" applyAlignment="1">
      <alignment horizontal="left" vertical="center" wrapText="1"/>
    </xf>
    <xf numFmtId="0" fontId="15" fillId="9" borderId="2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 wrapText="1"/>
    </xf>
    <xf numFmtId="0" fontId="15" fillId="19" borderId="2" xfId="0" applyFont="1" applyFill="1" applyBorder="1" applyAlignment="1">
      <alignment horizontal="left" vertical="center" wrapText="1"/>
    </xf>
    <xf numFmtId="0" fontId="32" fillId="14" borderId="0" xfId="0" applyFont="1" applyFill="1"/>
    <xf numFmtId="0" fontId="15" fillId="8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196419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2CC"/>
      <rgbColor rgb="FFF0FF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5F5F5"/>
      <rgbColor rgb="FFD9E1F2"/>
      <rgbColor rgb="FFEDEDED"/>
      <rgbColor rgb="FFE8D5F5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600"/>
  </sheetPr>
  <dimension ref="A1:U37"/>
  <sheetViews>
    <sheetView showGridLines="0"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ColWidth="8.6640625" defaultRowHeight="14.4" x14ac:dyDescent="0.3"/>
  <cols>
    <col min="1" max="1" width="3" customWidth="1"/>
    <col min="2" max="2" width="22" customWidth="1"/>
    <col min="3" max="3" width="14" customWidth="1"/>
    <col min="4" max="5" width="13" customWidth="1"/>
    <col min="6" max="6" width="14" customWidth="1"/>
    <col min="7" max="8" width="12" customWidth="1"/>
    <col min="9" max="10" width="13" customWidth="1"/>
    <col min="11" max="11" width="12" customWidth="1"/>
    <col min="12" max="12" width="13" customWidth="1"/>
    <col min="13" max="13" width="12" customWidth="1"/>
    <col min="14" max="15" width="14" customWidth="1"/>
    <col min="16" max="16" width="16" customWidth="1"/>
    <col min="17" max="17" width="22" customWidth="1"/>
    <col min="18" max="18" width="14" customWidth="1"/>
    <col min="19" max="19" width="13" customWidth="1"/>
    <col min="20" max="20" width="12" customWidth="1"/>
    <col min="21" max="21" width="16" customWidth="1"/>
  </cols>
  <sheetData>
    <row r="1" spans="1:21" ht="15" customHeight="1" x14ac:dyDescent="0.3">
      <c r="A1" s="15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21" ht="30" customHeight="1" x14ac:dyDescent="0.3">
      <c r="A2" s="15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21" ht="15" customHeight="1" x14ac:dyDescent="0.3">
      <c r="A3" s="15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21" ht="15" customHeight="1" x14ac:dyDescent="0.3">
      <c r="A4" s="15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21" ht="18" customHeight="1" x14ac:dyDescent="0.3">
      <c r="B5" s="13" t="s">
        <v>0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21" ht="39.75" customHeight="1" x14ac:dyDescent="0.3">
      <c r="B6" s="16" t="s">
        <v>1</v>
      </c>
      <c r="C6" s="16" t="s">
        <v>2</v>
      </c>
      <c r="D6" s="16" t="s">
        <v>3</v>
      </c>
      <c r="E6" s="16" t="s">
        <v>4</v>
      </c>
      <c r="F6" s="16" t="s">
        <v>5</v>
      </c>
      <c r="G6" s="16" t="s">
        <v>6</v>
      </c>
      <c r="H6" s="16" t="s">
        <v>7</v>
      </c>
      <c r="I6" s="16" t="s">
        <v>8</v>
      </c>
      <c r="J6" s="16" t="s">
        <v>9</v>
      </c>
      <c r="K6" s="16" t="s">
        <v>10</v>
      </c>
      <c r="L6" s="16" t="s">
        <v>11</v>
      </c>
      <c r="M6" s="16" t="s">
        <v>12</v>
      </c>
      <c r="N6" s="16" t="s">
        <v>13</v>
      </c>
      <c r="O6" s="16" t="s">
        <v>14</v>
      </c>
      <c r="P6" s="16" t="s">
        <v>15</v>
      </c>
      <c r="Q6" s="16" t="s">
        <v>16</v>
      </c>
      <c r="R6" s="16" t="s">
        <v>17</v>
      </c>
      <c r="S6" s="16" t="s">
        <v>18</v>
      </c>
      <c r="T6" s="16" t="s">
        <v>19</v>
      </c>
      <c r="U6" s="16" t="s">
        <v>20</v>
      </c>
    </row>
    <row r="7" spans="1:21" ht="15.75" customHeight="1" x14ac:dyDescent="0.3">
      <c r="B7" s="17" t="s">
        <v>21</v>
      </c>
      <c r="C7" s="18" t="s">
        <v>22</v>
      </c>
      <c r="D7" s="18" t="s">
        <v>22</v>
      </c>
      <c r="E7" s="18" t="s">
        <v>22</v>
      </c>
      <c r="F7" s="18" t="s">
        <v>22</v>
      </c>
      <c r="G7" s="18" t="s">
        <v>22</v>
      </c>
      <c r="H7" s="18" t="s">
        <v>22</v>
      </c>
      <c r="I7" s="18" t="s">
        <v>22</v>
      </c>
      <c r="J7" s="18" t="s">
        <v>22</v>
      </c>
      <c r="K7" s="18" t="s">
        <v>22</v>
      </c>
      <c r="L7" s="18" t="s">
        <v>22</v>
      </c>
      <c r="M7" s="18" t="s">
        <v>22</v>
      </c>
      <c r="N7" s="18" t="s">
        <v>23</v>
      </c>
      <c r="O7" s="18" t="s">
        <v>22</v>
      </c>
      <c r="P7" s="18" t="s">
        <v>22</v>
      </c>
      <c r="Q7" s="18" t="s">
        <v>22</v>
      </c>
      <c r="R7" s="18" t="s">
        <v>22</v>
      </c>
      <c r="S7" s="18" t="s">
        <v>22</v>
      </c>
      <c r="T7" s="18" t="s">
        <v>22</v>
      </c>
      <c r="U7" s="18" t="s">
        <v>24</v>
      </c>
    </row>
    <row r="8" spans="1:21" ht="18" customHeight="1" x14ac:dyDescent="0.3">
      <c r="B8" s="19" t="s">
        <v>25</v>
      </c>
      <c r="C8" s="20" t="s">
        <v>26</v>
      </c>
      <c r="D8" s="21">
        <v>450</v>
      </c>
      <c r="E8" s="21">
        <v>120</v>
      </c>
      <c r="F8" s="21">
        <v>85</v>
      </c>
      <c r="G8" s="21">
        <v>45</v>
      </c>
      <c r="H8" s="21">
        <v>12</v>
      </c>
      <c r="I8" s="21">
        <v>8</v>
      </c>
      <c r="J8" s="21">
        <v>2</v>
      </c>
      <c r="K8" s="21">
        <v>3</v>
      </c>
      <c r="L8" s="21">
        <v>18</v>
      </c>
      <c r="M8" s="21">
        <v>22</v>
      </c>
      <c r="N8" s="20">
        <v>5</v>
      </c>
      <c r="O8" s="20" t="s">
        <v>27</v>
      </c>
      <c r="P8" s="20" t="s">
        <v>28</v>
      </c>
      <c r="Q8" s="22"/>
      <c r="R8" s="20">
        <v>5</v>
      </c>
      <c r="S8" s="20">
        <v>8</v>
      </c>
      <c r="T8" s="20">
        <v>0</v>
      </c>
      <c r="U8" s="20" t="s">
        <v>29</v>
      </c>
    </row>
    <row r="9" spans="1:21" ht="18" customHeight="1" x14ac:dyDescent="0.3">
      <c r="B9" s="19" t="s">
        <v>30</v>
      </c>
      <c r="C9" s="20" t="s">
        <v>26</v>
      </c>
      <c r="D9" s="21">
        <v>820</v>
      </c>
      <c r="E9" s="21">
        <v>200</v>
      </c>
      <c r="F9" s="21">
        <v>140</v>
      </c>
      <c r="G9" s="21">
        <v>60</v>
      </c>
      <c r="H9" s="21">
        <v>18</v>
      </c>
      <c r="I9" s="21">
        <v>15</v>
      </c>
      <c r="J9" s="21">
        <v>4</v>
      </c>
      <c r="K9" s="21">
        <v>6</v>
      </c>
      <c r="L9" s="21">
        <v>32</v>
      </c>
      <c r="M9" s="21">
        <v>35</v>
      </c>
      <c r="N9" s="20">
        <v>12</v>
      </c>
      <c r="O9" s="20" t="s">
        <v>27</v>
      </c>
      <c r="P9" s="20" t="s">
        <v>28</v>
      </c>
      <c r="Q9" s="22"/>
      <c r="R9" s="20">
        <v>12</v>
      </c>
      <c r="S9" s="20">
        <v>15</v>
      </c>
      <c r="T9" s="20">
        <v>2</v>
      </c>
      <c r="U9" s="20" t="s">
        <v>29</v>
      </c>
    </row>
    <row r="10" spans="1:21" ht="18" customHeight="1" x14ac:dyDescent="0.3">
      <c r="B10" s="19" t="s">
        <v>31</v>
      </c>
      <c r="C10" s="20" t="s">
        <v>32</v>
      </c>
      <c r="D10" s="21">
        <v>180</v>
      </c>
      <c r="E10" s="21">
        <v>80</v>
      </c>
      <c r="F10" s="21">
        <v>45</v>
      </c>
      <c r="G10" s="21">
        <v>30</v>
      </c>
      <c r="H10" s="21">
        <v>5</v>
      </c>
      <c r="I10" s="21">
        <v>3</v>
      </c>
      <c r="J10" s="21">
        <v>0</v>
      </c>
      <c r="K10" s="21">
        <v>0</v>
      </c>
      <c r="L10" s="21">
        <v>8</v>
      </c>
      <c r="M10" s="21">
        <v>10</v>
      </c>
      <c r="N10" s="20">
        <v>0</v>
      </c>
      <c r="O10" s="20" t="s">
        <v>33</v>
      </c>
      <c r="P10" s="20" t="s">
        <v>34</v>
      </c>
      <c r="Q10" s="22"/>
      <c r="R10" s="20">
        <v>0</v>
      </c>
      <c r="S10" s="20">
        <v>0</v>
      </c>
      <c r="T10" s="20">
        <v>0</v>
      </c>
      <c r="U10" s="20" t="s">
        <v>35</v>
      </c>
    </row>
    <row r="11" spans="1:21" ht="18" customHeight="1" x14ac:dyDescent="0.3">
      <c r="B11" s="19" t="s">
        <v>36</v>
      </c>
      <c r="C11" s="20" t="s">
        <v>26</v>
      </c>
      <c r="D11" s="21">
        <v>650</v>
      </c>
      <c r="E11" s="21">
        <v>150</v>
      </c>
      <c r="F11" s="21">
        <v>110</v>
      </c>
      <c r="G11" s="21">
        <v>55</v>
      </c>
      <c r="H11" s="21">
        <v>14</v>
      </c>
      <c r="I11" s="21">
        <v>10</v>
      </c>
      <c r="J11" s="21">
        <v>3</v>
      </c>
      <c r="K11" s="21">
        <v>2</v>
      </c>
      <c r="L11" s="21">
        <v>24</v>
      </c>
      <c r="M11" s="21">
        <v>18</v>
      </c>
      <c r="N11" s="20">
        <v>8</v>
      </c>
      <c r="O11" s="20" t="s">
        <v>27</v>
      </c>
      <c r="P11" s="20" t="s">
        <v>28</v>
      </c>
      <c r="Q11" s="22"/>
      <c r="R11" s="20">
        <v>8</v>
      </c>
      <c r="S11" s="20">
        <v>6</v>
      </c>
      <c r="T11" s="20">
        <v>0</v>
      </c>
      <c r="U11" s="20" t="s">
        <v>29</v>
      </c>
    </row>
    <row r="12" spans="1:21" ht="18" customHeight="1" x14ac:dyDescent="0.3">
      <c r="B12" s="19" t="s">
        <v>37</v>
      </c>
      <c r="C12" s="20" t="s">
        <v>38</v>
      </c>
      <c r="D12" s="21">
        <v>1200</v>
      </c>
      <c r="E12" s="21">
        <v>280</v>
      </c>
      <c r="F12" s="21">
        <v>190</v>
      </c>
      <c r="G12" s="21">
        <v>90</v>
      </c>
      <c r="H12" s="21">
        <v>22</v>
      </c>
      <c r="I12" s="21">
        <v>20</v>
      </c>
      <c r="J12" s="21">
        <v>6</v>
      </c>
      <c r="K12" s="21">
        <v>8</v>
      </c>
      <c r="L12" s="21">
        <v>40</v>
      </c>
      <c r="M12" s="21">
        <v>50</v>
      </c>
      <c r="N12" s="20">
        <v>20</v>
      </c>
      <c r="O12" s="20" t="s">
        <v>27</v>
      </c>
      <c r="P12" s="20" t="s">
        <v>28</v>
      </c>
      <c r="Q12" s="22"/>
      <c r="R12" s="20">
        <v>20</v>
      </c>
      <c r="S12" s="20">
        <v>20</v>
      </c>
      <c r="T12" s="20">
        <v>3</v>
      </c>
      <c r="U12" s="20" t="s">
        <v>39</v>
      </c>
    </row>
    <row r="13" spans="1:21" ht="18" customHeight="1" x14ac:dyDescent="0.3">
      <c r="B13" s="19" t="s">
        <v>40</v>
      </c>
      <c r="C13" s="20" t="s">
        <v>26</v>
      </c>
      <c r="D13" s="21">
        <v>340</v>
      </c>
      <c r="E13" s="21">
        <v>95</v>
      </c>
      <c r="F13" s="21">
        <v>65</v>
      </c>
      <c r="G13" s="21">
        <v>35</v>
      </c>
      <c r="H13" s="21">
        <v>8</v>
      </c>
      <c r="I13" s="21">
        <v>6</v>
      </c>
      <c r="J13" s="21">
        <v>1</v>
      </c>
      <c r="K13" s="21">
        <v>4</v>
      </c>
      <c r="L13" s="21">
        <v>15</v>
      </c>
      <c r="M13" s="21">
        <v>12</v>
      </c>
      <c r="N13" s="20">
        <v>3</v>
      </c>
      <c r="O13" s="20" t="s">
        <v>33</v>
      </c>
      <c r="P13" s="20" t="s">
        <v>41</v>
      </c>
      <c r="Q13" s="22"/>
      <c r="R13" s="20">
        <v>3</v>
      </c>
      <c r="S13" s="20">
        <v>4</v>
      </c>
      <c r="T13" s="20">
        <v>0</v>
      </c>
      <c r="U13" s="20" t="s">
        <v>29</v>
      </c>
    </row>
    <row r="14" spans="1:21" ht="18" customHeight="1" x14ac:dyDescent="0.3">
      <c r="B14" s="19" t="s">
        <v>42</v>
      </c>
      <c r="C14" s="20" t="s">
        <v>26</v>
      </c>
      <c r="D14" s="21">
        <v>560</v>
      </c>
      <c r="E14" s="21">
        <v>130</v>
      </c>
      <c r="F14" s="21">
        <v>95</v>
      </c>
      <c r="G14" s="21">
        <v>48</v>
      </c>
      <c r="H14" s="21">
        <v>10</v>
      </c>
      <c r="I14" s="21">
        <v>9</v>
      </c>
      <c r="J14" s="21">
        <v>2</v>
      </c>
      <c r="K14" s="21">
        <v>1</v>
      </c>
      <c r="L14" s="21">
        <v>20</v>
      </c>
      <c r="M14" s="21">
        <v>16</v>
      </c>
      <c r="N14" s="20">
        <v>6</v>
      </c>
      <c r="O14" s="20" t="s">
        <v>33</v>
      </c>
      <c r="P14" s="20" t="s">
        <v>34</v>
      </c>
      <c r="Q14" s="22"/>
      <c r="R14" s="20">
        <v>6</v>
      </c>
      <c r="S14" s="20">
        <v>5</v>
      </c>
      <c r="T14" s="20">
        <v>0</v>
      </c>
      <c r="U14" s="20" t="s">
        <v>29</v>
      </c>
    </row>
    <row r="15" spans="1:21" ht="18" customHeight="1" x14ac:dyDescent="0.3">
      <c r="B15" s="19" t="s">
        <v>43</v>
      </c>
      <c r="C15" s="20" t="s">
        <v>32</v>
      </c>
      <c r="D15" s="21">
        <v>220</v>
      </c>
      <c r="E15" s="21">
        <v>75</v>
      </c>
      <c r="F15" s="21">
        <v>50</v>
      </c>
      <c r="G15" s="21">
        <v>28</v>
      </c>
      <c r="H15" s="21">
        <v>6</v>
      </c>
      <c r="I15" s="21">
        <v>4</v>
      </c>
      <c r="J15" s="21">
        <v>0</v>
      </c>
      <c r="K15" s="21">
        <v>0</v>
      </c>
      <c r="L15" s="21">
        <v>10</v>
      </c>
      <c r="M15" s="21">
        <v>8</v>
      </c>
      <c r="N15" s="20">
        <v>2</v>
      </c>
      <c r="O15" s="20" t="s">
        <v>33</v>
      </c>
      <c r="P15" s="20" t="s">
        <v>34</v>
      </c>
      <c r="Q15" s="22"/>
      <c r="R15" s="20">
        <v>2</v>
      </c>
      <c r="S15" s="20">
        <v>2</v>
      </c>
      <c r="T15" s="20">
        <v>0</v>
      </c>
      <c r="U15" s="20" t="s">
        <v>35</v>
      </c>
    </row>
    <row r="16" spans="1:21" ht="18" customHeight="1" x14ac:dyDescent="0.3">
      <c r="B16" s="19" t="s">
        <v>44</v>
      </c>
      <c r="C16" s="20" t="s">
        <v>32</v>
      </c>
      <c r="D16" s="21">
        <v>90</v>
      </c>
      <c r="E16" s="21">
        <v>45</v>
      </c>
      <c r="F16" s="21">
        <v>30</v>
      </c>
      <c r="G16" s="21">
        <v>20</v>
      </c>
      <c r="H16" s="21">
        <v>3</v>
      </c>
      <c r="I16" s="21">
        <v>2</v>
      </c>
      <c r="J16" s="21">
        <v>0</v>
      </c>
      <c r="K16" s="21">
        <v>0</v>
      </c>
      <c r="L16" s="21">
        <v>4</v>
      </c>
      <c r="M16" s="21">
        <v>5</v>
      </c>
      <c r="N16" s="20">
        <v>0</v>
      </c>
      <c r="O16" s="20" t="s">
        <v>45</v>
      </c>
      <c r="P16" s="20" t="s">
        <v>34</v>
      </c>
      <c r="Q16" s="22"/>
      <c r="R16" s="20">
        <v>0</v>
      </c>
      <c r="S16" s="20">
        <v>0</v>
      </c>
      <c r="T16" s="20">
        <v>0</v>
      </c>
      <c r="U16" s="20" t="s">
        <v>35</v>
      </c>
    </row>
    <row r="17" spans="2:21" ht="18" customHeight="1" x14ac:dyDescent="0.3">
      <c r="B17" s="19" t="s">
        <v>46</v>
      </c>
      <c r="C17" s="20" t="s">
        <v>47</v>
      </c>
      <c r="D17" s="21">
        <v>780</v>
      </c>
      <c r="E17" s="21">
        <v>180</v>
      </c>
      <c r="F17" s="21">
        <v>125</v>
      </c>
      <c r="G17" s="21">
        <v>65</v>
      </c>
      <c r="H17" s="21">
        <v>16</v>
      </c>
      <c r="I17" s="21">
        <v>12</v>
      </c>
      <c r="J17" s="21">
        <v>3</v>
      </c>
      <c r="K17" s="21">
        <v>5</v>
      </c>
      <c r="L17" s="21">
        <v>28</v>
      </c>
      <c r="M17" s="21">
        <v>20</v>
      </c>
      <c r="N17" s="20">
        <v>10</v>
      </c>
      <c r="O17" s="20" t="s">
        <v>27</v>
      </c>
      <c r="P17" s="20" t="s">
        <v>28</v>
      </c>
      <c r="Q17" s="22"/>
      <c r="R17" s="20">
        <v>10</v>
      </c>
      <c r="S17" s="20">
        <v>10</v>
      </c>
      <c r="T17" s="20">
        <v>0</v>
      </c>
      <c r="U17" s="20" t="s">
        <v>29</v>
      </c>
    </row>
    <row r="18" spans="2:21" ht="18" customHeight="1" x14ac:dyDescent="0.3">
      <c r="B18" s="19" t="s">
        <v>48</v>
      </c>
      <c r="C18" s="20" t="s">
        <v>26</v>
      </c>
      <c r="D18" s="21">
        <v>420</v>
      </c>
      <c r="E18" s="21">
        <v>110</v>
      </c>
      <c r="F18" s="21">
        <v>80</v>
      </c>
      <c r="G18" s="21">
        <v>40</v>
      </c>
      <c r="H18" s="21">
        <v>9</v>
      </c>
      <c r="I18" s="21">
        <v>7</v>
      </c>
      <c r="J18" s="21">
        <v>2</v>
      </c>
      <c r="K18" s="21">
        <v>2</v>
      </c>
      <c r="L18" s="21">
        <v>16</v>
      </c>
      <c r="M18" s="21">
        <v>14</v>
      </c>
      <c r="N18" s="20">
        <v>4</v>
      </c>
      <c r="O18" s="20" t="s">
        <v>33</v>
      </c>
      <c r="P18" s="20" t="s">
        <v>28</v>
      </c>
      <c r="Q18" s="22"/>
      <c r="R18" s="20">
        <v>4</v>
      </c>
      <c r="S18" s="20">
        <v>4</v>
      </c>
      <c r="T18" s="20">
        <v>0</v>
      </c>
      <c r="U18" s="20" t="s">
        <v>29</v>
      </c>
    </row>
    <row r="19" spans="2:21" ht="18" customHeight="1" x14ac:dyDescent="0.3">
      <c r="B19" s="19" t="s">
        <v>49</v>
      </c>
      <c r="C19" s="20" t="s">
        <v>26</v>
      </c>
      <c r="D19" s="21">
        <v>390</v>
      </c>
      <c r="E19" s="21">
        <v>100</v>
      </c>
      <c r="F19" s="21">
        <v>72</v>
      </c>
      <c r="G19" s="21">
        <v>38</v>
      </c>
      <c r="H19" s="21">
        <v>8</v>
      </c>
      <c r="I19" s="21">
        <v>6</v>
      </c>
      <c r="J19" s="21">
        <v>1</v>
      </c>
      <c r="K19" s="21">
        <v>3</v>
      </c>
      <c r="L19" s="21">
        <v>14</v>
      </c>
      <c r="M19" s="21">
        <v>12</v>
      </c>
      <c r="N19" s="20">
        <v>5</v>
      </c>
      <c r="O19" s="20" t="s">
        <v>33</v>
      </c>
      <c r="P19" s="20" t="s">
        <v>28</v>
      </c>
      <c r="Q19" s="22"/>
      <c r="R19" s="20">
        <v>5</v>
      </c>
      <c r="S19" s="20">
        <v>3</v>
      </c>
      <c r="T19" s="20">
        <v>0</v>
      </c>
      <c r="U19" s="20" t="s">
        <v>29</v>
      </c>
    </row>
    <row r="20" spans="2:21" ht="18" customHeight="1" x14ac:dyDescent="0.3">
      <c r="B20" s="19" t="s">
        <v>50</v>
      </c>
      <c r="C20" s="20" t="s">
        <v>32</v>
      </c>
      <c r="D20" s="21">
        <v>250</v>
      </c>
      <c r="E20" s="21">
        <v>85</v>
      </c>
      <c r="F20" s="21">
        <v>58</v>
      </c>
      <c r="G20" s="21">
        <v>32</v>
      </c>
      <c r="H20" s="21">
        <v>7</v>
      </c>
      <c r="I20" s="21">
        <v>5</v>
      </c>
      <c r="J20" s="21">
        <v>0</v>
      </c>
      <c r="K20" s="21">
        <v>1</v>
      </c>
      <c r="L20" s="21">
        <v>10</v>
      </c>
      <c r="M20" s="21">
        <v>15</v>
      </c>
      <c r="N20" s="20">
        <v>2</v>
      </c>
      <c r="O20" s="20" t="s">
        <v>33</v>
      </c>
      <c r="P20" s="20" t="s">
        <v>41</v>
      </c>
      <c r="Q20" s="22"/>
      <c r="R20" s="20">
        <v>2</v>
      </c>
      <c r="S20" s="20">
        <v>2</v>
      </c>
      <c r="T20" s="20">
        <v>0</v>
      </c>
      <c r="U20" s="20" t="s">
        <v>35</v>
      </c>
    </row>
    <row r="21" spans="2:21" ht="18" customHeight="1" x14ac:dyDescent="0.3">
      <c r="B21" s="19" t="s">
        <v>51</v>
      </c>
      <c r="C21" s="20" t="s">
        <v>26</v>
      </c>
      <c r="D21" s="21">
        <v>310</v>
      </c>
      <c r="E21" s="21">
        <v>90</v>
      </c>
      <c r="F21" s="21">
        <v>68</v>
      </c>
      <c r="G21" s="21">
        <v>36</v>
      </c>
      <c r="H21" s="21">
        <v>8</v>
      </c>
      <c r="I21" s="21">
        <v>7</v>
      </c>
      <c r="J21" s="21">
        <v>1</v>
      </c>
      <c r="K21" s="21">
        <v>0</v>
      </c>
      <c r="L21" s="21">
        <v>12</v>
      </c>
      <c r="M21" s="21">
        <v>25</v>
      </c>
      <c r="N21" s="20">
        <v>3</v>
      </c>
      <c r="O21" s="20" t="s">
        <v>33</v>
      </c>
      <c r="P21" s="20" t="s">
        <v>28</v>
      </c>
      <c r="Q21" s="22"/>
      <c r="R21" s="20">
        <v>3</v>
      </c>
      <c r="S21" s="20">
        <v>2</v>
      </c>
      <c r="T21" s="20">
        <v>0</v>
      </c>
      <c r="U21" s="20" t="s">
        <v>29</v>
      </c>
    </row>
    <row r="22" spans="2:21" ht="18" customHeight="1" x14ac:dyDescent="0.3">
      <c r="B22" s="19" t="s">
        <v>52</v>
      </c>
      <c r="C22" s="20" t="s">
        <v>32</v>
      </c>
      <c r="D22" s="21">
        <v>160</v>
      </c>
      <c r="E22" s="21">
        <v>65</v>
      </c>
      <c r="F22" s="21">
        <v>42</v>
      </c>
      <c r="G22" s="21">
        <v>25</v>
      </c>
      <c r="H22" s="21">
        <v>4</v>
      </c>
      <c r="I22" s="21">
        <v>3</v>
      </c>
      <c r="J22" s="21">
        <v>0</v>
      </c>
      <c r="K22" s="21">
        <v>0</v>
      </c>
      <c r="L22" s="21">
        <v>6</v>
      </c>
      <c r="M22" s="21">
        <v>8</v>
      </c>
      <c r="N22" s="20">
        <v>0</v>
      </c>
      <c r="O22" s="20" t="s">
        <v>45</v>
      </c>
      <c r="P22" s="20" t="s">
        <v>34</v>
      </c>
      <c r="Q22" s="22"/>
      <c r="R22" s="20">
        <v>0</v>
      </c>
      <c r="S22" s="20">
        <v>0</v>
      </c>
      <c r="T22" s="20">
        <v>0</v>
      </c>
      <c r="U22" s="20" t="s">
        <v>35</v>
      </c>
    </row>
    <row r="23" spans="2:21" ht="18" customHeight="1" x14ac:dyDescent="0.3">
      <c r="B23" s="19" t="s">
        <v>53</v>
      </c>
      <c r="C23" s="20" t="s">
        <v>47</v>
      </c>
      <c r="D23" s="21">
        <v>920</v>
      </c>
      <c r="E23" s="21">
        <v>210</v>
      </c>
      <c r="F23" s="21">
        <v>155</v>
      </c>
      <c r="G23" s="21">
        <v>70</v>
      </c>
      <c r="H23" s="21">
        <v>20</v>
      </c>
      <c r="I23" s="21">
        <v>16</v>
      </c>
      <c r="J23" s="21">
        <v>4</v>
      </c>
      <c r="K23" s="21">
        <v>7</v>
      </c>
      <c r="L23" s="21">
        <v>35</v>
      </c>
      <c r="M23" s="21">
        <v>28</v>
      </c>
      <c r="N23" s="20">
        <v>15</v>
      </c>
      <c r="O23" s="20" t="s">
        <v>27</v>
      </c>
      <c r="P23" s="20" t="s">
        <v>28</v>
      </c>
      <c r="Q23" s="22"/>
      <c r="R23" s="20">
        <v>15</v>
      </c>
      <c r="S23" s="20">
        <v>12</v>
      </c>
      <c r="T23" s="20">
        <v>2</v>
      </c>
      <c r="U23" s="20" t="s">
        <v>29</v>
      </c>
    </row>
    <row r="24" spans="2:21" ht="18" customHeight="1" x14ac:dyDescent="0.3">
      <c r="B24" s="19" t="s">
        <v>54</v>
      </c>
      <c r="C24" s="20" t="s">
        <v>47</v>
      </c>
      <c r="D24" s="21">
        <v>480</v>
      </c>
      <c r="E24" s="21">
        <v>125</v>
      </c>
      <c r="F24" s="21">
        <v>90</v>
      </c>
      <c r="G24" s="21">
        <v>50</v>
      </c>
      <c r="H24" s="21">
        <v>11</v>
      </c>
      <c r="I24" s="21">
        <v>8</v>
      </c>
      <c r="J24" s="21">
        <v>2</v>
      </c>
      <c r="K24" s="21">
        <v>3</v>
      </c>
      <c r="L24" s="21">
        <v>18</v>
      </c>
      <c r="M24" s="21">
        <v>20</v>
      </c>
      <c r="N24" s="20">
        <v>6</v>
      </c>
      <c r="O24" s="20" t="s">
        <v>27</v>
      </c>
      <c r="P24" s="20" t="s">
        <v>28</v>
      </c>
      <c r="Q24" s="22"/>
      <c r="R24" s="20">
        <v>6</v>
      </c>
      <c r="S24" s="20">
        <v>6</v>
      </c>
      <c r="T24" s="20">
        <v>0</v>
      </c>
      <c r="U24" s="20" t="s">
        <v>29</v>
      </c>
    </row>
    <row r="25" spans="2:21" ht="18" customHeight="1" x14ac:dyDescent="0.3">
      <c r="B25" s="19" t="s">
        <v>55</v>
      </c>
      <c r="C25" s="20" t="s">
        <v>32</v>
      </c>
      <c r="D25" s="21">
        <v>140</v>
      </c>
      <c r="E25" s="21">
        <v>55</v>
      </c>
      <c r="F25" s="21">
        <v>35</v>
      </c>
      <c r="G25" s="21">
        <v>22</v>
      </c>
      <c r="H25" s="21">
        <v>3</v>
      </c>
      <c r="I25" s="21">
        <v>2</v>
      </c>
      <c r="J25" s="21">
        <v>0</v>
      </c>
      <c r="K25" s="21">
        <v>0</v>
      </c>
      <c r="L25" s="21">
        <v>5</v>
      </c>
      <c r="M25" s="21">
        <v>6</v>
      </c>
      <c r="N25" s="20">
        <v>0</v>
      </c>
      <c r="O25" s="20" t="s">
        <v>45</v>
      </c>
      <c r="P25" s="20" t="s">
        <v>34</v>
      </c>
      <c r="Q25" s="22"/>
      <c r="R25" s="20">
        <v>0</v>
      </c>
      <c r="S25" s="20">
        <v>0</v>
      </c>
      <c r="T25" s="20">
        <v>0</v>
      </c>
      <c r="U25" s="20" t="s">
        <v>35</v>
      </c>
    </row>
    <row r="26" spans="2:21" ht="18" customHeight="1" x14ac:dyDescent="0.3">
      <c r="B26" s="19" t="s">
        <v>56</v>
      </c>
      <c r="C26" s="20" t="s">
        <v>26</v>
      </c>
      <c r="D26" s="21">
        <v>200</v>
      </c>
      <c r="E26" s="21">
        <v>72</v>
      </c>
      <c r="F26" s="21">
        <v>48</v>
      </c>
      <c r="G26" s="21">
        <v>28</v>
      </c>
      <c r="H26" s="21">
        <v>5</v>
      </c>
      <c r="I26" s="21">
        <v>4</v>
      </c>
      <c r="J26" s="21">
        <v>0</v>
      </c>
      <c r="K26" s="21">
        <v>0</v>
      </c>
      <c r="L26" s="21">
        <v>8</v>
      </c>
      <c r="M26" s="21">
        <v>10</v>
      </c>
      <c r="N26" s="20">
        <v>1</v>
      </c>
      <c r="O26" s="20" t="s">
        <v>33</v>
      </c>
      <c r="P26" s="20" t="s">
        <v>34</v>
      </c>
      <c r="Q26" s="22"/>
      <c r="R26" s="20">
        <v>1</v>
      </c>
      <c r="S26" s="20">
        <v>1</v>
      </c>
      <c r="T26" s="20">
        <v>0</v>
      </c>
      <c r="U26" s="20" t="s">
        <v>35</v>
      </c>
    </row>
    <row r="27" spans="2:21" ht="18" customHeight="1" x14ac:dyDescent="0.3">
      <c r="B27" s="19" t="s">
        <v>57</v>
      </c>
      <c r="C27" s="20" t="s">
        <v>26</v>
      </c>
      <c r="D27" s="21">
        <v>370</v>
      </c>
      <c r="E27" s="21">
        <v>105</v>
      </c>
      <c r="F27" s="21">
        <v>75</v>
      </c>
      <c r="G27" s="21">
        <v>42</v>
      </c>
      <c r="H27" s="21">
        <v>9</v>
      </c>
      <c r="I27" s="21">
        <v>7</v>
      </c>
      <c r="J27" s="21">
        <v>1</v>
      </c>
      <c r="K27" s="21">
        <v>2</v>
      </c>
      <c r="L27" s="21">
        <v>14</v>
      </c>
      <c r="M27" s="21">
        <v>12</v>
      </c>
      <c r="N27" s="20">
        <v>4</v>
      </c>
      <c r="O27" s="20" t="s">
        <v>33</v>
      </c>
      <c r="P27" s="20" t="s">
        <v>28</v>
      </c>
      <c r="Q27" s="22"/>
      <c r="R27" s="20">
        <v>4</v>
      </c>
      <c r="S27" s="20">
        <v>4</v>
      </c>
      <c r="T27" s="20">
        <v>0</v>
      </c>
      <c r="U27" s="20" t="s">
        <v>29</v>
      </c>
    </row>
    <row r="28" spans="2:21" ht="18" customHeight="1" x14ac:dyDescent="0.3">
      <c r="B28" s="19" t="s">
        <v>58</v>
      </c>
      <c r="C28" s="20" t="s">
        <v>26</v>
      </c>
      <c r="D28" s="21">
        <v>230</v>
      </c>
      <c r="E28" s="21">
        <v>80</v>
      </c>
      <c r="F28" s="21">
        <v>55</v>
      </c>
      <c r="G28" s="21">
        <v>30</v>
      </c>
      <c r="H28" s="21">
        <v>6</v>
      </c>
      <c r="I28" s="21">
        <v>4</v>
      </c>
      <c r="J28" s="21">
        <v>0</v>
      </c>
      <c r="K28" s="21">
        <v>0</v>
      </c>
      <c r="L28" s="21">
        <v>9</v>
      </c>
      <c r="M28" s="21">
        <v>8</v>
      </c>
      <c r="N28" s="20">
        <v>1</v>
      </c>
      <c r="O28" s="20" t="s">
        <v>33</v>
      </c>
      <c r="P28" s="20" t="s">
        <v>34</v>
      </c>
      <c r="Q28" s="22"/>
      <c r="R28" s="20">
        <v>1</v>
      </c>
      <c r="S28" s="20">
        <v>1</v>
      </c>
      <c r="T28" s="20">
        <v>0</v>
      </c>
      <c r="U28" s="20" t="s">
        <v>35</v>
      </c>
    </row>
    <row r="29" spans="2:21" ht="18" customHeight="1" x14ac:dyDescent="0.3">
      <c r="B29" s="19" t="s">
        <v>59</v>
      </c>
      <c r="C29" s="20" t="s">
        <v>26</v>
      </c>
      <c r="D29" s="21">
        <v>180</v>
      </c>
      <c r="E29" s="21">
        <v>68</v>
      </c>
      <c r="F29" s="21">
        <v>45</v>
      </c>
      <c r="G29" s="21">
        <v>26</v>
      </c>
      <c r="H29" s="21">
        <v>5</v>
      </c>
      <c r="I29" s="21">
        <v>3</v>
      </c>
      <c r="J29" s="21">
        <v>0</v>
      </c>
      <c r="K29" s="21">
        <v>0</v>
      </c>
      <c r="L29" s="21">
        <v>7</v>
      </c>
      <c r="M29" s="21">
        <v>14</v>
      </c>
      <c r="N29" s="20">
        <v>0</v>
      </c>
      <c r="O29" s="20" t="s">
        <v>33</v>
      </c>
      <c r="P29" s="20" t="s">
        <v>34</v>
      </c>
      <c r="Q29" s="22"/>
      <c r="R29" s="20">
        <v>0</v>
      </c>
      <c r="S29" s="20">
        <v>1</v>
      </c>
      <c r="T29" s="20">
        <v>0</v>
      </c>
      <c r="U29" s="20" t="s">
        <v>35</v>
      </c>
    </row>
    <row r="30" spans="2:21" ht="18" customHeight="1" x14ac:dyDescent="0.3">
      <c r="B30" s="19" t="s">
        <v>60</v>
      </c>
      <c r="C30" s="20" t="s">
        <v>38</v>
      </c>
      <c r="D30" s="21">
        <v>1800</v>
      </c>
      <c r="E30" s="21">
        <v>350</v>
      </c>
      <c r="F30" s="21">
        <v>80</v>
      </c>
      <c r="G30" s="21">
        <v>120</v>
      </c>
      <c r="H30" s="21">
        <v>8</v>
      </c>
      <c r="I30" s="21">
        <v>18</v>
      </c>
      <c r="J30" s="21">
        <v>5</v>
      </c>
      <c r="K30" s="21">
        <v>0</v>
      </c>
      <c r="L30" s="21">
        <v>15</v>
      </c>
      <c r="M30" s="21">
        <v>60</v>
      </c>
      <c r="N30" s="20">
        <v>0</v>
      </c>
      <c r="O30" s="20" t="s">
        <v>27</v>
      </c>
      <c r="P30" s="20" t="s">
        <v>41</v>
      </c>
      <c r="Q30" s="22"/>
      <c r="R30" s="20">
        <v>0</v>
      </c>
      <c r="S30" s="20">
        <v>0</v>
      </c>
      <c r="T30" s="20">
        <v>0</v>
      </c>
      <c r="U30" s="20" t="s">
        <v>35</v>
      </c>
    </row>
    <row r="31" spans="2:21" ht="18" customHeight="1" x14ac:dyDescent="0.3">
      <c r="B31" s="19" t="s">
        <v>61</v>
      </c>
      <c r="C31" s="20" t="s">
        <v>47</v>
      </c>
      <c r="D31" s="21">
        <v>290</v>
      </c>
      <c r="E31" s="21">
        <v>88</v>
      </c>
      <c r="F31" s="21">
        <v>62</v>
      </c>
      <c r="G31" s="21">
        <v>34</v>
      </c>
      <c r="H31" s="21">
        <v>7</v>
      </c>
      <c r="I31" s="21">
        <v>6</v>
      </c>
      <c r="J31" s="21">
        <v>1</v>
      </c>
      <c r="K31" s="21">
        <v>0</v>
      </c>
      <c r="L31" s="21">
        <v>10</v>
      </c>
      <c r="M31" s="21">
        <v>30</v>
      </c>
      <c r="N31" s="20">
        <v>2</v>
      </c>
      <c r="O31" s="20" t="s">
        <v>33</v>
      </c>
      <c r="P31" s="20" t="s">
        <v>28</v>
      </c>
      <c r="Q31" s="22"/>
      <c r="R31" s="20">
        <v>2</v>
      </c>
      <c r="S31" s="20">
        <v>3</v>
      </c>
      <c r="T31" s="20">
        <v>0</v>
      </c>
      <c r="U31" s="20" t="s">
        <v>62</v>
      </c>
    </row>
    <row r="32" spans="2:21" ht="18" customHeight="1" x14ac:dyDescent="0.3">
      <c r="B32" s="19" t="s">
        <v>63</v>
      </c>
      <c r="C32" s="20" t="s">
        <v>32</v>
      </c>
      <c r="D32" s="21">
        <v>170</v>
      </c>
      <c r="E32" s="21">
        <v>60</v>
      </c>
      <c r="F32" s="21">
        <v>40</v>
      </c>
      <c r="G32" s="21">
        <v>24</v>
      </c>
      <c r="H32" s="21">
        <v>4</v>
      </c>
      <c r="I32" s="21">
        <v>3</v>
      </c>
      <c r="J32" s="21">
        <v>0</v>
      </c>
      <c r="K32" s="21">
        <v>0</v>
      </c>
      <c r="L32" s="21">
        <v>6</v>
      </c>
      <c r="M32" s="21">
        <v>8</v>
      </c>
      <c r="N32" s="20">
        <v>0</v>
      </c>
      <c r="O32" s="20" t="s">
        <v>45</v>
      </c>
      <c r="P32" s="20" t="s">
        <v>34</v>
      </c>
      <c r="Q32" s="22"/>
      <c r="R32" s="20">
        <v>0</v>
      </c>
      <c r="S32" s="20">
        <v>0</v>
      </c>
      <c r="T32" s="20">
        <v>0</v>
      </c>
      <c r="U32" s="20" t="s">
        <v>35</v>
      </c>
    </row>
    <row r="33" spans="2:21" ht="18" customHeight="1" x14ac:dyDescent="0.3">
      <c r="B33" s="19" t="s">
        <v>64</v>
      </c>
      <c r="C33" s="20" t="s">
        <v>32</v>
      </c>
      <c r="D33" s="21">
        <v>130</v>
      </c>
      <c r="E33" s="21">
        <v>50</v>
      </c>
      <c r="F33" s="21">
        <v>32</v>
      </c>
      <c r="G33" s="21">
        <v>18</v>
      </c>
      <c r="H33" s="21">
        <v>3</v>
      </c>
      <c r="I33" s="21">
        <v>2</v>
      </c>
      <c r="J33" s="21">
        <v>0</v>
      </c>
      <c r="K33" s="21">
        <v>0</v>
      </c>
      <c r="L33" s="21">
        <v>4</v>
      </c>
      <c r="M33" s="21">
        <v>5</v>
      </c>
      <c r="N33" s="20">
        <v>0</v>
      </c>
      <c r="O33" s="20" t="s">
        <v>45</v>
      </c>
      <c r="P33" s="20" t="s">
        <v>34</v>
      </c>
      <c r="Q33" s="22"/>
      <c r="R33" s="20">
        <v>0</v>
      </c>
      <c r="S33" s="20">
        <v>0</v>
      </c>
      <c r="T33" s="20">
        <v>0</v>
      </c>
      <c r="U33" s="20" t="s">
        <v>35</v>
      </c>
    </row>
    <row r="34" spans="2:21" ht="18" customHeight="1" x14ac:dyDescent="0.3">
      <c r="B34" s="19" t="s">
        <v>65</v>
      </c>
      <c r="C34" s="20" t="s">
        <v>47</v>
      </c>
      <c r="D34" s="21">
        <v>410</v>
      </c>
      <c r="E34" s="21">
        <v>115</v>
      </c>
      <c r="F34" s="21">
        <v>82</v>
      </c>
      <c r="G34" s="21">
        <v>44</v>
      </c>
      <c r="H34" s="21">
        <v>10</v>
      </c>
      <c r="I34" s="21">
        <v>8</v>
      </c>
      <c r="J34" s="21">
        <v>2</v>
      </c>
      <c r="K34" s="21">
        <v>2</v>
      </c>
      <c r="L34" s="21">
        <v>16</v>
      </c>
      <c r="M34" s="21">
        <v>10</v>
      </c>
      <c r="N34" s="20">
        <v>5</v>
      </c>
      <c r="O34" s="20" t="s">
        <v>33</v>
      </c>
      <c r="P34" s="20" t="s">
        <v>28</v>
      </c>
      <c r="Q34" s="22"/>
      <c r="R34" s="20">
        <v>5</v>
      </c>
      <c r="S34" s="20">
        <v>5</v>
      </c>
      <c r="T34" s="20">
        <v>0</v>
      </c>
      <c r="U34" s="20" t="s">
        <v>29</v>
      </c>
    </row>
    <row r="35" spans="2:21" ht="18" customHeight="1" x14ac:dyDescent="0.3">
      <c r="B35" s="19" t="s">
        <v>66</v>
      </c>
      <c r="C35" s="20" t="s">
        <v>38</v>
      </c>
      <c r="D35" s="21">
        <v>680</v>
      </c>
      <c r="E35" s="21">
        <v>160</v>
      </c>
      <c r="F35" s="21">
        <v>55</v>
      </c>
      <c r="G35" s="21">
        <v>85</v>
      </c>
      <c r="H35" s="21">
        <v>6</v>
      </c>
      <c r="I35" s="21">
        <v>10</v>
      </c>
      <c r="J35" s="21">
        <v>2</v>
      </c>
      <c r="K35" s="21">
        <v>0</v>
      </c>
      <c r="L35" s="21">
        <v>8</v>
      </c>
      <c r="M35" s="21">
        <v>75</v>
      </c>
      <c r="N35" s="20">
        <v>0</v>
      </c>
      <c r="O35" s="20" t="s">
        <v>27</v>
      </c>
      <c r="P35" s="20" t="s">
        <v>41</v>
      </c>
      <c r="Q35" s="22"/>
      <c r="R35" s="20">
        <v>0</v>
      </c>
      <c r="S35" s="20">
        <v>0</v>
      </c>
      <c r="T35" s="20">
        <v>0</v>
      </c>
      <c r="U35" s="20" t="s">
        <v>35</v>
      </c>
    </row>
    <row r="36" spans="2:21" ht="18" customHeight="1" x14ac:dyDescent="0.3">
      <c r="B36" s="19" t="s">
        <v>67</v>
      </c>
      <c r="C36" s="20" t="s">
        <v>38</v>
      </c>
      <c r="D36" s="21">
        <v>520</v>
      </c>
      <c r="E36" s="21">
        <v>140</v>
      </c>
      <c r="F36" s="21">
        <v>98</v>
      </c>
      <c r="G36" s="21">
        <v>52</v>
      </c>
      <c r="H36" s="21">
        <v>12</v>
      </c>
      <c r="I36" s="21">
        <v>9</v>
      </c>
      <c r="J36" s="21">
        <v>3</v>
      </c>
      <c r="K36" s="21">
        <v>1</v>
      </c>
      <c r="L36" s="21">
        <v>18</v>
      </c>
      <c r="M36" s="21">
        <v>22</v>
      </c>
      <c r="N36" s="20">
        <v>7</v>
      </c>
      <c r="O36" s="20" t="s">
        <v>27</v>
      </c>
      <c r="P36" s="20" t="s">
        <v>28</v>
      </c>
      <c r="Q36" s="22"/>
      <c r="R36" s="20">
        <v>7</v>
      </c>
      <c r="S36" s="20">
        <v>8</v>
      </c>
      <c r="T36" s="20">
        <v>1</v>
      </c>
      <c r="U36" s="20" t="s">
        <v>29</v>
      </c>
    </row>
    <row r="37" spans="2:21" ht="19.5" customHeight="1" x14ac:dyDescent="0.3">
      <c r="B37" s="23" t="s">
        <v>68</v>
      </c>
      <c r="C37" s="24">
        <f t="shared" ref="C37:N37" si="0">SUM(C8:C36)</f>
        <v>0</v>
      </c>
      <c r="D37" s="24">
        <f t="shared" si="0"/>
        <v>13340</v>
      </c>
      <c r="E37" s="24">
        <f t="shared" si="0"/>
        <v>3483</v>
      </c>
      <c r="F37" s="24">
        <f t="shared" si="0"/>
        <v>2207</v>
      </c>
      <c r="G37" s="24">
        <f t="shared" si="0"/>
        <v>1292</v>
      </c>
      <c r="H37" s="24">
        <f t="shared" si="0"/>
        <v>259</v>
      </c>
      <c r="I37" s="24">
        <f t="shared" si="0"/>
        <v>217</v>
      </c>
      <c r="J37" s="24">
        <f t="shared" si="0"/>
        <v>45</v>
      </c>
      <c r="K37" s="24">
        <f t="shared" si="0"/>
        <v>50</v>
      </c>
      <c r="L37" s="24">
        <f t="shared" si="0"/>
        <v>430</v>
      </c>
      <c r="M37" s="24">
        <f t="shared" si="0"/>
        <v>578</v>
      </c>
      <c r="N37" s="24">
        <f t="shared" si="0"/>
        <v>121</v>
      </c>
      <c r="O37" s="25"/>
      <c r="P37" s="25"/>
      <c r="Q37" s="25"/>
      <c r="R37" s="24">
        <f>SUM(R8:R36)</f>
        <v>121</v>
      </c>
      <c r="S37" s="24">
        <f>SUM(S8:S36)</f>
        <v>122</v>
      </c>
      <c r="T37" s="24">
        <f>SUM(T8:T36)</f>
        <v>8</v>
      </c>
      <c r="U37" s="25"/>
    </row>
  </sheetData>
  <mergeCells count="2">
    <mergeCell ref="B1:Q4"/>
    <mergeCell ref="B5:Q5"/>
  </mergeCells>
  <dataValidations count="4">
    <dataValidation type="list" allowBlank="1" sqref="C8:C36" xr:uid="{00000000-0002-0000-0000-000000000000}">
      <formula1>"Wave 1,Wave 2,Wave 3,Wave 4,Wave 5,Wave 6"</formula1>
      <formula2>0</formula2>
    </dataValidation>
    <dataValidation type="list" allowBlank="1" sqref="O8:O36" xr:uid="{00000000-0002-0000-0000-000001000000}">
      <formula1>"Low,Medium,High,N/A"</formula1>
      <formula2>0</formula2>
    </dataValidation>
    <dataValidation type="list" allowBlank="1" sqref="P8:P36" xr:uid="{00000000-0002-0000-0000-000002000000}">
      <formula1>"EC2 (Lift &amp; Shift),AWS QuickSight,Power BI,Decommission,TBD"</formula1>
      <formula2>0</formula2>
    </dataValidation>
    <dataValidation type="list" allowBlank="1" sqref="U8:U36" xr:uid="{00000000-0002-0000-0000-000003000000}">
      <formula1>"Transactional,Merge,Snapshot,None,Mixed"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AR37"/>
  <sheetViews>
    <sheetView showGridLines="0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ColWidth="8.6640625" defaultRowHeight="14.4" x14ac:dyDescent="0.3"/>
  <cols>
    <col min="1" max="1" width="2" customWidth="1"/>
    <col min="2" max="2" width="24" customWidth="1"/>
    <col min="3" max="3" width="13" customWidth="1"/>
    <col min="4" max="4" width="11" customWidth="1"/>
    <col min="5" max="13" width="10" customWidth="1"/>
    <col min="14" max="15" width="12" customWidth="1"/>
    <col min="16" max="16" width="16" customWidth="1"/>
    <col min="17" max="17" width="12" customWidth="1"/>
    <col min="18" max="20" width="13" customWidth="1"/>
    <col min="21" max="28" width="11.5546875" hidden="1" customWidth="1"/>
    <col min="29" max="38" width="13" customWidth="1"/>
    <col min="39" max="41" width="14" customWidth="1"/>
    <col min="42" max="44" width="11.5546875" hidden="1" customWidth="1"/>
    <col min="45" max="49" width="13" customWidth="1"/>
  </cols>
  <sheetData>
    <row r="1" spans="1:44" ht="15" customHeight="1" x14ac:dyDescent="0.3">
      <c r="A1" s="15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44" ht="25.5" customHeight="1" x14ac:dyDescent="0.3">
      <c r="A2" s="15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44" ht="15" customHeight="1" x14ac:dyDescent="0.3">
      <c r="A3" s="15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44" ht="15.75" customHeight="1" x14ac:dyDescent="0.3">
      <c r="B4" s="13" t="s">
        <v>69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44" ht="15" customHeight="1" x14ac:dyDescent="0.3">
      <c r="B5" s="12" t="s">
        <v>70</v>
      </c>
      <c r="C5" s="12"/>
      <c r="D5" s="11" t="s">
        <v>71</v>
      </c>
      <c r="E5" s="11"/>
      <c r="F5" s="11"/>
      <c r="G5" s="11"/>
      <c r="H5" s="11"/>
      <c r="I5" s="10" t="s">
        <v>72</v>
      </c>
      <c r="J5" s="10"/>
      <c r="K5" s="10"/>
      <c r="L5" s="10"/>
      <c r="M5" s="10"/>
      <c r="N5" s="10"/>
      <c r="O5" s="9" t="s">
        <v>73</v>
      </c>
      <c r="P5" s="9"/>
      <c r="Q5" s="9"/>
      <c r="R5" s="8" t="s">
        <v>74</v>
      </c>
      <c r="S5" s="8"/>
      <c r="T5" s="8"/>
      <c r="U5" s="26"/>
      <c r="V5" s="27"/>
      <c r="W5" s="27"/>
      <c r="X5" s="27"/>
      <c r="Y5" s="27"/>
      <c r="Z5" s="27"/>
      <c r="AA5" s="27"/>
      <c r="AB5" s="8" t="s">
        <v>75</v>
      </c>
      <c r="AC5" s="8"/>
      <c r="AD5" s="8"/>
      <c r="AE5" s="8"/>
      <c r="AF5" s="8"/>
      <c r="AG5" s="12" t="s">
        <v>76</v>
      </c>
      <c r="AH5" s="12"/>
      <c r="AI5" s="12"/>
      <c r="AJ5" s="12"/>
      <c r="AK5" s="12"/>
      <c r="AL5" s="12"/>
      <c r="AM5" s="11" t="s">
        <v>77</v>
      </c>
      <c r="AN5" s="11"/>
      <c r="AO5" s="11"/>
      <c r="AP5" s="26"/>
      <c r="AQ5" s="27"/>
      <c r="AR5" s="27"/>
    </row>
    <row r="6" spans="1:44" ht="36" customHeight="1" x14ac:dyDescent="0.3">
      <c r="B6" s="23" t="s">
        <v>1</v>
      </c>
      <c r="C6" s="23" t="s">
        <v>78</v>
      </c>
      <c r="D6" s="23" t="s">
        <v>79</v>
      </c>
      <c r="E6" s="23" t="s">
        <v>80</v>
      </c>
      <c r="F6" s="23" t="s">
        <v>81</v>
      </c>
      <c r="G6" s="23" t="s">
        <v>82</v>
      </c>
      <c r="H6" s="23" t="s">
        <v>83</v>
      </c>
      <c r="I6" s="23" t="s">
        <v>84</v>
      </c>
      <c r="J6" s="23" t="s">
        <v>85</v>
      </c>
      <c r="K6" s="23" t="s">
        <v>86</v>
      </c>
      <c r="L6" s="23" t="s">
        <v>87</v>
      </c>
      <c r="M6" s="23" t="s">
        <v>88</v>
      </c>
      <c r="N6" s="16" t="s">
        <v>89</v>
      </c>
      <c r="O6" s="23" t="s">
        <v>90</v>
      </c>
      <c r="P6" s="23" t="s">
        <v>15</v>
      </c>
      <c r="Q6" s="23" t="s">
        <v>91</v>
      </c>
      <c r="R6" s="23" t="s">
        <v>92</v>
      </c>
      <c r="S6" s="23" t="s">
        <v>93</v>
      </c>
      <c r="T6" s="23" t="s">
        <v>94</v>
      </c>
      <c r="U6" s="28"/>
      <c r="V6" s="28"/>
      <c r="W6" s="28"/>
      <c r="X6" s="28"/>
      <c r="Y6" s="28"/>
      <c r="Z6" s="28"/>
      <c r="AA6" s="28"/>
      <c r="AB6" s="16" t="s">
        <v>17</v>
      </c>
      <c r="AC6" s="16" t="s">
        <v>95</v>
      </c>
      <c r="AD6" s="16" t="s">
        <v>96</v>
      </c>
      <c r="AE6" s="16" t="s">
        <v>97</v>
      </c>
      <c r="AF6" s="16" t="s">
        <v>98</v>
      </c>
      <c r="AG6" s="16" t="s">
        <v>99</v>
      </c>
      <c r="AH6" s="16" t="s">
        <v>100</v>
      </c>
      <c r="AI6" s="16" t="s">
        <v>101</v>
      </c>
      <c r="AJ6" s="16" t="s">
        <v>102</v>
      </c>
      <c r="AK6" s="16" t="s">
        <v>103</v>
      </c>
      <c r="AL6" s="16" t="s">
        <v>104</v>
      </c>
      <c r="AM6" s="16" t="s">
        <v>105</v>
      </c>
      <c r="AN6" s="16" t="s">
        <v>106</v>
      </c>
      <c r="AO6" s="16" t="s">
        <v>107</v>
      </c>
      <c r="AP6" s="26"/>
      <c r="AQ6" s="26"/>
      <c r="AR6" s="26"/>
    </row>
    <row r="7" spans="1:44" ht="13.5" customHeight="1" x14ac:dyDescent="0.3">
      <c r="B7" s="29" t="s">
        <v>108</v>
      </c>
      <c r="C7" s="29" t="s">
        <v>108</v>
      </c>
      <c r="D7" s="18" t="s">
        <v>109</v>
      </c>
      <c r="E7" s="18" t="s">
        <v>109</v>
      </c>
      <c r="F7" s="18" t="s">
        <v>109</v>
      </c>
      <c r="G7" s="18" t="s">
        <v>109</v>
      </c>
      <c r="H7" s="18" t="s">
        <v>109</v>
      </c>
      <c r="I7" s="18" t="s">
        <v>109</v>
      </c>
      <c r="J7" s="18" t="s">
        <v>109</v>
      </c>
      <c r="K7" s="18" t="s">
        <v>109</v>
      </c>
      <c r="L7" s="18" t="s">
        <v>109</v>
      </c>
      <c r="M7" s="18" t="s">
        <v>109</v>
      </c>
      <c r="N7" s="18" t="s">
        <v>109</v>
      </c>
      <c r="O7" s="18" t="s">
        <v>109</v>
      </c>
      <c r="P7" s="18" t="s">
        <v>109</v>
      </c>
      <c r="Q7" s="18" t="s">
        <v>109</v>
      </c>
      <c r="R7" s="30" t="s">
        <v>110</v>
      </c>
      <c r="S7" s="30" t="s">
        <v>110</v>
      </c>
      <c r="T7" s="30" t="s">
        <v>110</v>
      </c>
      <c r="U7" s="31"/>
      <c r="V7" s="31"/>
      <c r="W7" s="31"/>
      <c r="X7" s="31"/>
      <c r="Y7" s="31"/>
      <c r="Z7" s="31"/>
      <c r="AA7" s="31"/>
      <c r="AB7" s="30" t="s">
        <v>111</v>
      </c>
      <c r="AC7" s="30" t="s">
        <v>110</v>
      </c>
      <c r="AD7" s="30" t="s">
        <v>110</v>
      </c>
      <c r="AE7" s="30" t="s">
        <v>110</v>
      </c>
      <c r="AF7" s="30" t="s">
        <v>110</v>
      </c>
      <c r="AG7" s="30" t="s">
        <v>110</v>
      </c>
      <c r="AH7" s="30" t="s">
        <v>110</v>
      </c>
      <c r="AI7" s="30" t="s">
        <v>110</v>
      </c>
      <c r="AJ7" s="30" t="s">
        <v>110</v>
      </c>
      <c r="AK7" s="30" t="s">
        <v>110</v>
      </c>
      <c r="AL7" s="30" t="s">
        <v>110</v>
      </c>
      <c r="AM7" s="30" t="s">
        <v>110</v>
      </c>
      <c r="AN7" s="30" t="s">
        <v>110</v>
      </c>
      <c r="AO7" s="30" t="s">
        <v>110</v>
      </c>
      <c r="AP7" s="32"/>
      <c r="AQ7" s="32"/>
      <c r="AR7" s="32"/>
    </row>
    <row r="8" spans="1:44" ht="18" customHeight="1" x14ac:dyDescent="0.3">
      <c r="B8" s="33" t="str">
        <f>'✏️ SME Input'!B8</f>
        <v>Order Management System</v>
      </c>
      <c r="C8" s="34" t="str">
        <f t="shared" ref="C8:C36" si="0">IF(D8&gt;1000,"T3 Complex",IF(D8&gt;500,"T2 Moderate","T1 Simple"))</f>
        <v>T1 Simple</v>
      </c>
      <c r="D8" s="35">
        <f>'✏️ SME Input'!D8</f>
        <v>450</v>
      </c>
      <c r="E8" s="35">
        <f>'✏️ SME Input'!E8</f>
        <v>120</v>
      </c>
      <c r="F8" s="35">
        <f>'✏️ SME Input'!F8</f>
        <v>85</v>
      </c>
      <c r="G8" s="35">
        <f>'✏️ SME Input'!G8</f>
        <v>45</v>
      </c>
      <c r="H8" s="35">
        <f>'✏️ SME Input'!H8</f>
        <v>12</v>
      </c>
      <c r="I8" s="35">
        <f>'✏️ SME Input'!I8</f>
        <v>8</v>
      </c>
      <c r="J8" s="35">
        <f>'✏️ SME Input'!J8</f>
        <v>2</v>
      </c>
      <c r="K8" s="35">
        <f>'✏️ SME Input'!K8</f>
        <v>3</v>
      </c>
      <c r="L8" s="35">
        <f>'✏️ SME Input'!L8</f>
        <v>18</v>
      </c>
      <c r="M8" s="35">
        <f>'✏️ SME Input'!M8</f>
        <v>22</v>
      </c>
      <c r="N8" s="21">
        <f>'✏️ SME Input'!N8</f>
        <v>5</v>
      </c>
      <c r="O8" s="36" t="str">
        <f>'✏️ SME Input'!O8</f>
        <v>High</v>
      </c>
      <c r="P8" s="36" t="str">
        <f>'✏️ SME Input'!P8</f>
        <v>EC2 (Lift &amp; Shift)</v>
      </c>
      <c r="Q8" s="36" t="str">
        <f>'✏️ SME Input'!C8</f>
        <v>Wave 2</v>
      </c>
      <c r="R8" s="37">
        <f t="shared" ref="R8:R36" si="1">((((D8/100)*0.5+F8*0.5+G8*0.2+H8*0.8+I8*1+J8*3+K8*5+(D8/100)*0.3)*8+(L8*IF(O8="High",2,IF(O8="Medium",1,0.5)))*8+(M8*IF(P8="EC2 (Lift &amp; Shift)",0.2,IF(P8="AWS QuickSight",1.5,IF(P8="Power BI",1,0.5))))*8+(10+(D8/100)*0.5)*8))*0.08+(((D8/100)*0.5+F8*0.5+G8*0.2+H8*0.8+I8*1+J8*3+K8*5+(D8/100)*0.3)*8+(D8/100)*0.3*8)+((L8*IF(O8="High",2,IF(O8="Medium",1,0.5)))*8)+((M8*IF(P8="EC2 (Lift &amp; Shift)",0.2,IF(P8="AWS QuickSight",1.5,IF(P8="Power BI",1,0.5))))*8)+((10+(D8/100)*0.5)*8)+((((D8/100)*0.5+F8*0.5+G8*0.2+H8*0.8+I8*1+J8*3+K8*5+(D8/100)*0.3)*8+(L8*IF(O8="High",2,IF(O8="Medium",1,0.5)))*8+(M8*IF(P8="EC2 (Lift &amp; Shift)",0.2,IF(P8="AWS QuickSight",1.5,IF(P8="Power BI",1,0.5))))*8+(10+(D8/100)*0.5)*8))*0.28+((((D8/100)*0.5+F8*0.5+G8*0.2+H8*0.8+I8*1+J8*3+K8*5+(D8/100)*0.3)*8+(L8*IF(O8="High",2,IF(O8="Medium",1,0.5)))*8+(M8*IF(P8="EC2 (Lift &amp; Shift)",0.2,IF(P8="AWS QuickSight",1.5,IF(P8="Power BI",1,0.5))))*8+(10+(D8/100)*0.5)*8))*0.12</f>
        <v>1743.5839999999998</v>
      </c>
      <c r="S8" s="37">
        <f>((((D8/100)*0.5+F8*0.5+G8*0.2+H8*0.8+I8*1+J8*3+K8*5+(D8/100)*0.3)*8+(L8*IF(O8="High",2,IF(O8="Medium",1,0.5)))*8+(M8*IF(P8="EC2 (Lift &amp; Shift)",0.2,IF(P8="AWS QuickSight",1.5,IF(P8="Power BI",1,0.5))))*8+(10+(D8/100)*0.5)*8)*0.08)*(1-'📊 Dashboard'!C10/100)+((((D8/100)*0.5+F8*0.5+G8*0.2+H8*0.8+I8*1+J8*3+K8*5+(D8/100)*0.3)*8+(D8/100)*0.3*8))*(1-'📊 Dashboard'!C10/100)+((L8*IF(O8="High",2,IF(O8="Medium",1,0.5)))*8)*(1-'📊 Dashboard'!C11/100)+((M8*IF(P8="EC2 (Lift &amp; Shift)",0.2,IF(P8="AWS QuickSight",1.5,IF(P8="Power BI",1,0.5))))*8)*(1-'📊 Dashboard'!C12/100)+((10+(D8/100)*0.5)*8)*(1-'📊 Dashboard'!C10/100)+((((D8/100)*0.5+F8*0.5+G8*0.2+H8*0.8+I8*1+J8*3+K8*5+(D8/100)*0.3)*8+(L8*IF(O8="High",2,IF(O8="Medium",1,0.5)))*8+(M8*IF(P8="EC2 (Lift &amp; Shift)",0.2,IF(P8="AWS QuickSight",1.5,IF(P8="Power BI",1,0.5))))*8+(10+(D8/100)*0.5)*8)*0.28)*(1-'📊 Dashboard'!C13/100)+((((D8/100)*0.5+F8*0.5+G8*0.2+H8*0.8+I8*1+J8*3+K8*5+(D8/100)*0.3)*8+(L8*IF(O8="High",2,IF(O8="Medium",1,0.5)))*8+(M8*IF(P8="EC2 (Lift &amp; Shift)",0.2,IF(P8="AWS QuickSight",1.5,IF(P8="Power BI",1,0.5))))*8+(10+(D8/100)*0.5)*8)*0.12)*(1-'📊 Dashboard'!C10/100)</f>
        <v>1271.2111999999997</v>
      </c>
      <c r="T8" s="38">
        <f>S8*(1+'📊 Dashboard'!C14/100)</f>
        <v>1461.8928799999996</v>
      </c>
      <c r="U8" s="39">
        <f t="shared" ref="U8:U36" si="2">(((D8/100)*0.5+F8*0.5+G8*0.2+H8*0.8+I8*1+J8*3+K8*5+(D8/100)*0.3)*8+(L8*IF(O8="High",2,IF(O8="Medium",1,0.5)))*8+(M8*IF(P8="EC2 (Lift &amp; Shift)",0.2,IF(P8="AWS QuickSight",1.5,IF(P8="Power BI",1,0.5))))*8+(10+(D8/100)*0.5)*8)*0.08</f>
        <v>93.664000000000001</v>
      </c>
      <c r="V8" s="39">
        <f t="shared" ref="V8:V36" si="3">((D8/100)*0.5+F8*0.5+G8*0.2+H8*0.8+I8*1+J8*3+K8*5+(D8/100)*0.3)*8+(D8/100)*0.3*8</f>
        <v>760.39999999999986</v>
      </c>
      <c r="W8" s="39">
        <f t="shared" ref="W8:W36" si="4">(L8*IF(O8="High",2,IF(O8="Medium",1,0.5)))*8</f>
        <v>288</v>
      </c>
      <c r="X8" s="39">
        <f t="shared" ref="X8:X36" si="5">(M8*IF(P8="EC2 (Lift &amp; Shift)",0.2,IF(P8="AWS QuickSight",1.5,IF(P8="Power BI",1,0.5))))*8</f>
        <v>35.200000000000003</v>
      </c>
      <c r="Y8" s="39">
        <f t="shared" ref="Y8:Y36" si="6">(10+(D8/100)*0.5)*8</f>
        <v>98</v>
      </c>
      <c r="Z8" s="39">
        <f t="shared" ref="Z8:Z36" si="7">(((D8/100)*0.5+F8*0.5+G8*0.2+H8*0.8+I8*1+J8*3+K8*5+(D8/100)*0.3)*8+(L8*IF(O8="High",2,IF(O8="Medium",1,0.5)))*8+(M8*IF(P8="EC2 (Lift &amp; Shift)",0.2,IF(P8="AWS QuickSight",1.5,IF(P8="Power BI",1,0.5))))*8+(10+(D8/100)*0.5)*8)*0.28</f>
        <v>327.82400000000001</v>
      </c>
      <c r="AA8" s="39">
        <f t="shared" ref="AA8:AA36" si="8">(((D8/100)*0.5+F8*0.5+G8*0.2+H8*0.8+I8*1+J8*3+K8*5+(D8/100)*0.3)*8+(L8*IF(O8="High",2,IF(O8="Medium",1,0.5)))*8+(M8*IF(P8="EC2 (Lift &amp; Shift)",0.2,IF(P8="AWS QuickSight",1.5,IF(P8="Power BI",1,0.5))))*8+(10+(D8/100)*0.5)*8)*0.12</f>
        <v>140.49599999999998</v>
      </c>
      <c r="AB8" s="40">
        <f>'✏️ SME Input'!R8</f>
        <v>5</v>
      </c>
      <c r="AC8" s="39">
        <f t="shared" ref="AC8:AC36" si="9">AB8*0.75</f>
        <v>3.75</v>
      </c>
      <c r="AD8" s="39">
        <f t="shared" ref="AD8:AD36" si="10">AB8*0.75</f>
        <v>3.75</v>
      </c>
      <c r="AE8" s="39">
        <f t="shared" ref="AE8:AE36" si="11">AB8*0.75</f>
        <v>3.75</v>
      </c>
      <c r="AF8" s="39">
        <f t="shared" ref="AF8:AF36" si="12">AB8*2.25</f>
        <v>11.25</v>
      </c>
      <c r="AG8" s="39">
        <f t="shared" ref="AG8:AG36" si="13">(((D8/100)*0.5+F8*0.5+G8*0.2+H8*0.8+I8*1+J8*3+K8*5+(D8/100)*0.3)*8)*0.4</f>
        <v>299.83999999999997</v>
      </c>
      <c r="AH8" s="39">
        <f t="shared" ref="AH8:AH36" si="14">(((D8/100)*0.5+F8*0.5+G8*0.2+H8*0.8+I8*1+J8*3+K8*5+(D8/100)*0.3)*8)*0.4</f>
        <v>299.83999999999997</v>
      </c>
      <c r="AI8" s="39">
        <f t="shared" ref="AI8:AI36" si="15">(((D8/100)*0.5+F8*0.5+G8*0.2+H8*0.8+I8*1+J8*3+K8*5+(D8/100)*0.3)*8)*0.2</f>
        <v>149.91999999999999</v>
      </c>
      <c r="AJ8" s="39">
        <f t="shared" ref="AJ8:AJ36" si="16">((L8*IF(O8="High",2,IF(O8="Medium",1,0.5)))*8)*0.5</f>
        <v>144</v>
      </c>
      <c r="AK8" s="39">
        <f t="shared" ref="AK8:AK36" si="17">((L8*IF(O8="High",2,IF(O8="Medium",1,0.5)))*8)*0.35</f>
        <v>100.8</v>
      </c>
      <c r="AL8" s="39">
        <f t="shared" ref="AL8:AL36" si="18">((L8*IF(O8="High",2,IF(O8="Medium",1,0.5)))*8)*0.15</f>
        <v>43.199999999999996</v>
      </c>
      <c r="AM8" s="38">
        <f t="shared" ref="AM8:AM36" si="19">AG8+AJ8+((M8*IF(P8="EC2 (Lift &amp; Shift)",0.2,IF(P8="AWS QuickSight",1.5,IF(P8="Power BI",1,0.5))))*8)*0.4+((10+(D8/100)*0.5)*8)*0.4+AC8+((((D8/100)*0.5+F8*0.5+G8*0.2+H8*0.8+I8*1+J8*3+K8*5+(D8/100)*0.3)*8+(L8*IF(O8="High",2,IF(O8="Medium",1,0.5)))*8+(M8*IF(P8="EC2 (Lift &amp; Shift)",0.2,IF(P8="AWS QuickSight",1.5,IF(P8="Power BI",1,0.5))))*8+(10+(D8/100)*0.5)*8))*0.28*0.4+((((D8/100)*0.5+F8*0.5+G8*0.2+H8*0.8+I8*1+J8*3+K8*5+(D8/100)*0.3)*8+(L8*IF(O8="High",2,IF(O8="Medium",1,0.5)))*8+(M8*IF(P8="EC2 (Lift &amp; Shift)",0.2,IF(P8="AWS QuickSight",1.5,IF(P8="Power BI",1,0.5))))*8+(10+(D8/100)*0.5)*8))*0.12*0.4+((((D8/100)*0.5+F8*0.5+G8*0.2+H8*0.8+I8*1+J8*3+K8*5+(D8/100)*0.3)*8+(L8*IF(O8="High",2,IF(O8="Medium",1,0.5)))*8+(M8*IF(P8="EC2 (Lift &amp; Shift)",0.2,IF(P8="AWS QuickSight",1.5,IF(P8="Power BI",1,0.5))))*8+(10+(D8/100)*0.5)*8))*0.08*0.4</f>
        <v>725.66359999999997</v>
      </c>
      <c r="AN8" s="41">
        <f t="shared" ref="AN8:AN36" si="20">AH8+AK8+((M8*IF(P8="EC2 (Lift &amp; Shift)",0.2,IF(P8="AWS QuickSight",1.5,IF(P8="Power BI",1,0.5))))*8)*0.4+((10+(D8/100)*0.5)*8)*0.4+AD8+((((D8/100)*0.5+F8*0.5+G8*0.2+H8*0.8+I8*1+J8*3+K8*5+(D8/100)*0.3)*8+(L8*IF(O8="High",2,IF(O8="Medium",1,0.5)))*8+(M8*IF(P8="EC2 (Lift &amp; Shift)",0.2,IF(P8="AWS QuickSight",1.5,IF(P8="Power BI",1,0.5))))*8+(10+(D8/100)*0.5)*8))*0.28*0.4+((((D8/100)*0.5+F8*0.5+G8*0.2+H8*0.8+I8*1+J8*3+K8*5+(D8/100)*0.3)*8+(L8*IF(O8="High",2,IF(O8="Medium",1,0.5)))*8+(M8*IF(P8="EC2 (Lift &amp; Shift)",0.2,IF(P8="AWS QuickSight",1.5,IF(P8="Power BI",1,0.5))))*8+(10+(D8/100)*0.5)*8))*0.12*0.4+((((D8/100)*0.5+F8*0.5+G8*0.2+H8*0.8+I8*1+J8*3+K8*5+(D8/100)*0.3)*8+(L8*IF(O8="High",2,IF(O8="Medium",1,0.5)))*8+(M8*IF(P8="EC2 (Lift &amp; Shift)",0.2,IF(P8="AWS QuickSight",1.5,IF(P8="Power BI",1,0.5))))*8+(10+(D8/100)*0.5)*8))*0.08*0.4</f>
        <v>682.46359999999993</v>
      </c>
      <c r="AO8" s="42">
        <f t="shared" ref="AO8:AO36" si="21">AI8+AL8+((M8*IF(P8="EC2 (Lift &amp; Shift)",0.2,IF(P8="AWS QuickSight",1.5,IF(P8="Power BI",1,0.5))))*8)*0.2+((10+(D8/100)*0.5)*8)*0.2+AE8+((((D8/100)*0.5+F8*0.5+G8*0.2+H8*0.8+I8*1+J8*3+K8*5+(D8/100)*0.3)*8+(L8*IF(O8="High",2,IF(O8="Medium",1,0.5)))*8+(M8*IF(P8="EC2 (Lift &amp; Shift)",0.2,IF(P8="AWS QuickSight",1.5,IF(P8="Power BI",1,0.5))))*8+(10+(D8/100)*0.5)*8))*0.28*0.2+((((D8/100)*0.5+F8*0.5+G8*0.2+H8*0.8+I8*1+J8*3+K8*5+(D8/100)*0.3)*8+(L8*IF(O8="High",2,IF(O8="Medium",1,0.5)))*8+(M8*IF(P8="EC2 (Lift &amp; Shift)",0.2,IF(P8="AWS QuickSight",1.5,IF(P8="Power BI",1,0.5))))*8+(10+(D8/100)*0.5)*8))*0.12*0.2+((((D8/100)*0.5+F8*0.5+G8*0.2+H8*0.8+I8*1+J8*3+K8*5+(D8/100)*0.3)*8+(L8*IF(O8="High",2,IF(O8="Medium",1,0.5)))*8+(M8*IF(P8="EC2 (Lift &amp; Shift)",0.2,IF(P8="AWS QuickSight",1.5,IF(P8="Power BI",1,0.5))))*8+(10+(D8/100)*0.5)*8))*0.08*0.2</f>
        <v>335.90679999999998</v>
      </c>
      <c r="AP8" s="40">
        <f>'✏️ SME Input'!S8</f>
        <v>8</v>
      </c>
      <c r="AQ8" s="40">
        <f>'✏️ SME Input'!T8</f>
        <v>0</v>
      </c>
      <c r="AR8" s="43" t="str">
        <f>'✏️ SME Input'!U8</f>
        <v>Transactional</v>
      </c>
    </row>
    <row r="9" spans="1:44" ht="18" customHeight="1" x14ac:dyDescent="0.3">
      <c r="B9" s="44" t="str">
        <f>'✏️ SME Input'!B9</f>
        <v>Billing Engine</v>
      </c>
      <c r="C9" s="34" t="str">
        <f t="shared" si="0"/>
        <v>T2 Moderate</v>
      </c>
      <c r="D9" s="35">
        <f>'✏️ SME Input'!D9</f>
        <v>820</v>
      </c>
      <c r="E9" s="35">
        <f>'✏️ SME Input'!E9</f>
        <v>200</v>
      </c>
      <c r="F9" s="35">
        <f>'✏️ SME Input'!F9</f>
        <v>140</v>
      </c>
      <c r="G9" s="35">
        <f>'✏️ SME Input'!G9</f>
        <v>60</v>
      </c>
      <c r="H9" s="35">
        <f>'✏️ SME Input'!H9</f>
        <v>18</v>
      </c>
      <c r="I9" s="35">
        <f>'✏️ SME Input'!I9</f>
        <v>15</v>
      </c>
      <c r="J9" s="35">
        <f>'✏️ SME Input'!J9</f>
        <v>4</v>
      </c>
      <c r="K9" s="35">
        <f>'✏️ SME Input'!K9</f>
        <v>6</v>
      </c>
      <c r="L9" s="35">
        <f>'✏️ SME Input'!L9</f>
        <v>32</v>
      </c>
      <c r="M9" s="35">
        <f>'✏️ SME Input'!M9</f>
        <v>35</v>
      </c>
      <c r="N9" s="21">
        <f>'✏️ SME Input'!N9</f>
        <v>12</v>
      </c>
      <c r="O9" s="36" t="str">
        <f>'✏️ SME Input'!O9</f>
        <v>High</v>
      </c>
      <c r="P9" s="36" t="str">
        <f>'✏️ SME Input'!P9</f>
        <v>EC2 (Lift &amp; Shift)</v>
      </c>
      <c r="Q9" s="36" t="str">
        <f>'✏️ SME Input'!C9</f>
        <v>Wave 2</v>
      </c>
      <c r="R9" s="37">
        <f t="shared" si="1"/>
        <v>2921.1904000000004</v>
      </c>
      <c r="S9" s="37">
        <f>((((D9/100)*0.5+F9*0.5+G9*0.2+H9*0.8+I9*1+J9*3+K9*5+(D9/100)*0.3)*8+(L9*IF(O9="High",2,IF(O9="Medium",1,0.5)))*8+(M9*IF(P9="EC2 (Lift &amp; Shift)",0.2,IF(P9="AWS QuickSight",1.5,IF(P9="Power BI",1,0.5))))*8+(10+(D9/100)*0.5)*8)*0.08)*(1-'📊 Dashboard'!C10/100)+((((D9/100)*0.5+F9*0.5+G9*0.2+H9*0.8+I9*1+J9*3+K9*5+(D9/100)*0.3)*8+(D9/100)*0.3*8))*(1-'📊 Dashboard'!C10/100)+((L9*IF(O9="High",2,IF(O9="Medium",1,0.5)))*8)*(1-'📊 Dashboard'!C11/100)+((M9*IF(P9="EC2 (Lift &amp; Shift)",0.2,IF(P9="AWS QuickSight",1.5,IF(P9="Power BI",1,0.5))))*8)*(1-'📊 Dashboard'!C12/100)+((10+(D9/100)*0.5)*8)*(1-'📊 Dashboard'!C10/100)+((((D9/100)*0.5+F9*0.5+G9*0.2+H9*0.8+I9*1+J9*3+K9*5+(D9/100)*0.3)*8+(L9*IF(O9="High",2,IF(O9="Medium",1,0.5)))*8+(M9*IF(P9="EC2 (Lift &amp; Shift)",0.2,IF(P9="AWS QuickSight",1.5,IF(P9="Power BI",1,0.5))))*8+(10+(D9/100)*0.5)*8)*0.28)*(1-'📊 Dashboard'!C13/100)+((((D9/100)*0.5+F9*0.5+G9*0.2+H9*0.8+I9*1+J9*3+K9*5+(D9/100)*0.3)*8+(L9*IF(O9="High",2,IF(O9="Medium",1,0.5)))*8+(M9*IF(P9="EC2 (Lift &amp; Shift)",0.2,IF(P9="AWS QuickSight",1.5,IF(P9="Power BI",1,0.5))))*8+(10+(D9/100)*0.5)*8)*0.12)*(1-'📊 Dashboard'!C10/100)</f>
        <v>2130.9267199999999</v>
      </c>
      <c r="T9" s="38">
        <f>S9*(1+'📊 Dashboard'!C14/100)</f>
        <v>2450.5657279999996</v>
      </c>
      <c r="U9" s="45">
        <f t="shared" si="2"/>
        <v>156.83840000000001</v>
      </c>
      <c r="V9" s="45">
        <f t="shared" si="3"/>
        <v>1299.3600000000001</v>
      </c>
      <c r="W9" s="45">
        <f t="shared" si="4"/>
        <v>512</v>
      </c>
      <c r="X9" s="45">
        <f t="shared" si="5"/>
        <v>56</v>
      </c>
      <c r="Y9" s="45">
        <f t="shared" si="6"/>
        <v>112.8</v>
      </c>
      <c r="Z9" s="45">
        <f t="shared" si="7"/>
        <v>548.9344000000001</v>
      </c>
      <c r="AA9" s="45">
        <f t="shared" si="8"/>
        <v>235.2576</v>
      </c>
      <c r="AB9" s="40">
        <f>'✏️ SME Input'!R9</f>
        <v>12</v>
      </c>
      <c r="AC9" s="45">
        <f t="shared" si="9"/>
        <v>9</v>
      </c>
      <c r="AD9" s="45">
        <f t="shared" si="10"/>
        <v>9</v>
      </c>
      <c r="AE9" s="45">
        <f t="shared" si="11"/>
        <v>9</v>
      </c>
      <c r="AF9" s="45">
        <f t="shared" si="12"/>
        <v>27</v>
      </c>
      <c r="AG9" s="45">
        <f t="shared" si="13"/>
        <v>511.87200000000007</v>
      </c>
      <c r="AH9" s="45">
        <f t="shared" si="14"/>
        <v>511.87200000000007</v>
      </c>
      <c r="AI9" s="45">
        <f t="shared" si="15"/>
        <v>255.93600000000004</v>
      </c>
      <c r="AJ9" s="45">
        <f t="shared" si="16"/>
        <v>256</v>
      </c>
      <c r="AK9" s="45">
        <f t="shared" si="17"/>
        <v>179.2</v>
      </c>
      <c r="AL9" s="45">
        <f t="shared" si="18"/>
        <v>76.8</v>
      </c>
      <c r="AM9" s="38">
        <f t="shared" si="19"/>
        <v>1220.8041599999999</v>
      </c>
      <c r="AN9" s="41">
        <f t="shared" si="20"/>
        <v>1144.00416</v>
      </c>
      <c r="AO9" s="42">
        <f t="shared" si="21"/>
        <v>563.70208000000002</v>
      </c>
      <c r="AP9" s="46">
        <f>'✏️ SME Input'!S9</f>
        <v>15</v>
      </c>
      <c r="AQ9" s="46">
        <f>'✏️ SME Input'!T9</f>
        <v>2</v>
      </c>
      <c r="AR9" s="47" t="str">
        <f>'✏️ SME Input'!U9</f>
        <v>Transactional</v>
      </c>
    </row>
    <row r="10" spans="1:44" ht="18" customHeight="1" x14ac:dyDescent="0.3">
      <c r="B10" s="33" t="str">
        <f>'✏️ SME Input'!B10</f>
        <v>Customer Portal DB</v>
      </c>
      <c r="C10" s="34" t="str">
        <f t="shared" si="0"/>
        <v>T1 Simple</v>
      </c>
      <c r="D10" s="35">
        <f>'✏️ SME Input'!D10</f>
        <v>180</v>
      </c>
      <c r="E10" s="35">
        <f>'✏️ SME Input'!E10</f>
        <v>80</v>
      </c>
      <c r="F10" s="35">
        <f>'✏️ SME Input'!F10</f>
        <v>45</v>
      </c>
      <c r="G10" s="35">
        <f>'✏️ SME Input'!G10</f>
        <v>30</v>
      </c>
      <c r="H10" s="35">
        <f>'✏️ SME Input'!H10</f>
        <v>5</v>
      </c>
      <c r="I10" s="35">
        <f>'✏️ SME Input'!I10</f>
        <v>3</v>
      </c>
      <c r="J10" s="35">
        <f>'✏️ SME Input'!J10</f>
        <v>0</v>
      </c>
      <c r="K10" s="35">
        <f>'✏️ SME Input'!K10</f>
        <v>0</v>
      </c>
      <c r="L10" s="35">
        <f>'✏️ SME Input'!L10</f>
        <v>8</v>
      </c>
      <c r="M10" s="35">
        <f>'✏️ SME Input'!M10</f>
        <v>10</v>
      </c>
      <c r="N10" s="21">
        <f>'✏️ SME Input'!N10</f>
        <v>0</v>
      </c>
      <c r="O10" s="36" t="str">
        <f>'✏️ SME Input'!O10</f>
        <v>Medium</v>
      </c>
      <c r="P10" s="36" t="str">
        <f>'✏️ SME Input'!P10</f>
        <v>AWS QuickSight</v>
      </c>
      <c r="Q10" s="36" t="str">
        <f>'✏️ SME Input'!C10</f>
        <v>Wave 1</v>
      </c>
      <c r="R10" s="37">
        <f t="shared" si="1"/>
        <v>843.06560000000002</v>
      </c>
      <c r="S10" s="37">
        <f>((((D10/100)*0.5+F10*0.5+G10*0.2+H10*0.8+I10*1+J10*3+K10*5+(D10/100)*0.3)*8+(L10*IF(O10="High",2,IF(O10="Medium",1,0.5)))*8+(M10*IF(P10="EC2 (Lift &amp; Shift)",0.2,IF(P10="AWS QuickSight",1.5,IF(P10="Power BI",1,0.5))))*8+(10+(D10/100)*0.5)*8)*0.08)*(1-'📊 Dashboard'!C10/100)+((((D10/100)*0.5+F10*0.5+G10*0.2+H10*0.8+I10*1+J10*3+K10*5+(D10/100)*0.3)*8+(D10/100)*0.3*8))*(1-'📊 Dashboard'!C10/100)+((L10*IF(O10="High",2,IF(O10="Medium",1,0.5)))*8)*(1-'📊 Dashboard'!C11/100)+((M10*IF(P10="EC2 (Lift &amp; Shift)",0.2,IF(P10="AWS QuickSight",1.5,IF(P10="Power BI",1,0.5))))*8)*(1-'📊 Dashboard'!C12/100)+((10+(D10/100)*0.5)*8)*(1-'📊 Dashboard'!C10/100)+((((D10/100)*0.5+F10*0.5+G10*0.2+H10*0.8+I10*1+J10*3+K10*5+(D10/100)*0.3)*8+(L10*IF(O10="High",2,IF(O10="Medium",1,0.5)))*8+(M10*IF(P10="EC2 (Lift &amp; Shift)",0.2,IF(P10="AWS QuickSight",1.5,IF(P10="Power BI",1,0.5))))*8+(10+(D10/100)*0.5)*8)*0.28)*(1-'📊 Dashboard'!C13/100)+((((D10/100)*0.5+F10*0.5+G10*0.2+H10*0.8+I10*1+J10*3+K10*5+(D10/100)*0.3)*8+(L10*IF(O10="High",2,IF(O10="Medium",1,0.5)))*8+(M10*IF(P10="EC2 (Lift &amp; Shift)",0.2,IF(P10="AWS QuickSight",1.5,IF(P10="Power BI",1,0.5))))*8+(10+(D10/100)*0.5)*8)*0.12)*(1-'📊 Dashboard'!C10/100)</f>
        <v>621.21407999999997</v>
      </c>
      <c r="T10" s="38">
        <f>S10*(1+'📊 Dashboard'!C14/100)</f>
        <v>714.39619199999993</v>
      </c>
      <c r="U10" s="39">
        <f t="shared" si="2"/>
        <v>45.337600000000002</v>
      </c>
      <c r="V10" s="39">
        <f t="shared" si="3"/>
        <v>299.83999999999997</v>
      </c>
      <c r="W10" s="39">
        <f t="shared" si="4"/>
        <v>64</v>
      </c>
      <c r="X10" s="39">
        <f t="shared" si="5"/>
        <v>120</v>
      </c>
      <c r="Y10" s="39">
        <f t="shared" si="6"/>
        <v>87.2</v>
      </c>
      <c r="Z10" s="39">
        <f t="shared" si="7"/>
        <v>158.68160000000003</v>
      </c>
      <c r="AA10" s="39">
        <f t="shared" si="8"/>
        <v>68.006399999999999</v>
      </c>
      <c r="AB10" s="40">
        <f>'✏️ SME Input'!R10</f>
        <v>0</v>
      </c>
      <c r="AC10" s="39">
        <f t="shared" si="9"/>
        <v>0</v>
      </c>
      <c r="AD10" s="39">
        <f t="shared" si="10"/>
        <v>0</v>
      </c>
      <c r="AE10" s="39">
        <f t="shared" si="11"/>
        <v>0</v>
      </c>
      <c r="AF10" s="39">
        <f t="shared" si="12"/>
        <v>0</v>
      </c>
      <c r="AG10" s="39">
        <f t="shared" si="13"/>
        <v>118.208</v>
      </c>
      <c r="AH10" s="39">
        <f t="shared" si="14"/>
        <v>118.208</v>
      </c>
      <c r="AI10" s="39">
        <f t="shared" si="15"/>
        <v>59.103999999999999</v>
      </c>
      <c r="AJ10" s="39">
        <f t="shared" si="16"/>
        <v>32</v>
      </c>
      <c r="AK10" s="39">
        <f t="shared" si="17"/>
        <v>22.4</v>
      </c>
      <c r="AL10" s="39">
        <f t="shared" si="18"/>
        <v>9.6</v>
      </c>
      <c r="AM10" s="38">
        <f t="shared" si="19"/>
        <v>341.89824000000004</v>
      </c>
      <c r="AN10" s="41">
        <f t="shared" si="20"/>
        <v>332.29824000000002</v>
      </c>
      <c r="AO10" s="42">
        <f t="shared" si="21"/>
        <v>164.54911999999999</v>
      </c>
      <c r="AP10" s="40">
        <f>'✏️ SME Input'!S10</f>
        <v>0</v>
      </c>
      <c r="AQ10" s="40">
        <f>'✏️ SME Input'!T10</f>
        <v>0</v>
      </c>
      <c r="AR10" s="43" t="str">
        <f>'✏️ SME Input'!U10</f>
        <v>None</v>
      </c>
    </row>
    <row r="11" spans="1:44" ht="18" customHeight="1" x14ac:dyDescent="0.3">
      <c r="B11" s="44" t="str">
        <f>'✏️ SME Input'!B11</f>
        <v>Provisioning System</v>
      </c>
      <c r="C11" s="34" t="str">
        <f t="shared" si="0"/>
        <v>T2 Moderate</v>
      </c>
      <c r="D11" s="35">
        <f>'✏️ SME Input'!D11</f>
        <v>650</v>
      </c>
      <c r="E11" s="35">
        <f>'✏️ SME Input'!E11</f>
        <v>150</v>
      </c>
      <c r="F11" s="35">
        <f>'✏️ SME Input'!F11</f>
        <v>110</v>
      </c>
      <c r="G11" s="35">
        <f>'✏️ SME Input'!G11</f>
        <v>55</v>
      </c>
      <c r="H11" s="35">
        <f>'✏️ SME Input'!H11</f>
        <v>14</v>
      </c>
      <c r="I11" s="35">
        <f>'✏️ SME Input'!I11</f>
        <v>10</v>
      </c>
      <c r="J11" s="35">
        <f>'✏️ SME Input'!J11</f>
        <v>3</v>
      </c>
      <c r="K11" s="35">
        <f>'✏️ SME Input'!K11</f>
        <v>2</v>
      </c>
      <c r="L11" s="35">
        <f>'✏️ SME Input'!L11</f>
        <v>24</v>
      </c>
      <c r="M11" s="35">
        <f>'✏️ SME Input'!M11</f>
        <v>18</v>
      </c>
      <c r="N11" s="21">
        <f>'✏️ SME Input'!N11</f>
        <v>8</v>
      </c>
      <c r="O11" s="36" t="str">
        <f>'✏️ SME Input'!O11</f>
        <v>High</v>
      </c>
      <c r="P11" s="36" t="str">
        <f>'✏️ SME Input'!P11</f>
        <v>EC2 (Lift &amp; Shift)</v>
      </c>
      <c r="Q11" s="36" t="str">
        <f>'✏️ SME Input'!C11</f>
        <v>Wave 2</v>
      </c>
      <c r="R11" s="37">
        <f t="shared" si="1"/>
        <v>2102.3999999999996</v>
      </c>
      <c r="S11" s="37">
        <f>((((D11/100)*0.5+F11*0.5+G11*0.2+H11*0.8+I11*1+J11*3+K11*5+(D11/100)*0.3)*8+(L11*IF(O11="High",2,IF(O11="Medium",1,0.5)))*8+(M11*IF(P11="EC2 (Lift &amp; Shift)",0.2,IF(P11="AWS QuickSight",1.5,IF(P11="Power BI",1,0.5))))*8+(10+(D11/100)*0.5)*8)*0.08)*(1-'📊 Dashboard'!C10/100)+((((D11/100)*0.5+F11*0.5+G11*0.2+H11*0.8+I11*1+J11*3+K11*5+(D11/100)*0.3)*8+(D11/100)*0.3*8))*(1-'📊 Dashboard'!C10/100)+((L11*IF(O11="High",2,IF(O11="Medium",1,0.5)))*8)*(1-'📊 Dashboard'!C11/100)+((M11*IF(P11="EC2 (Lift &amp; Shift)",0.2,IF(P11="AWS QuickSight",1.5,IF(P11="Power BI",1,0.5))))*8)*(1-'📊 Dashboard'!C12/100)+((10+(D11/100)*0.5)*8)*(1-'📊 Dashboard'!C10/100)+((((D11/100)*0.5+F11*0.5+G11*0.2+H11*0.8+I11*1+J11*3+K11*5+(D11/100)*0.3)*8+(L11*IF(O11="High",2,IF(O11="Medium",1,0.5)))*8+(M11*IF(P11="EC2 (Lift &amp; Shift)",0.2,IF(P11="AWS QuickSight",1.5,IF(P11="Power BI",1,0.5))))*8+(10+(D11/100)*0.5)*8)*0.28)*(1-'📊 Dashboard'!C13/100)+((((D11/100)*0.5+F11*0.5+G11*0.2+H11*0.8+I11*1+J11*3+K11*5+(D11/100)*0.3)*8+(L11*IF(O11="High",2,IF(O11="Medium",1,0.5)))*8+(M11*IF(P11="EC2 (Lift &amp; Shift)",0.2,IF(P11="AWS QuickSight",1.5,IF(P11="Power BI",1,0.5))))*8+(10+(D11/100)*0.5)*8)*0.12)*(1-'📊 Dashboard'!C10/100)</f>
        <v>1533.2400000000002</v>
      </c>
      <c r="T11" s="38">
        <f>S11*(1+'📊 Dashboard'!C14/100)</f>
        <v>1763.2260000000001</v>
      </c>
      <c r="U11" s="45">
        <f t="shared" si="2"/>
        <v>112.8</v>
      </c>
      <c r="V11" s="45">
        <f t="shared" si="3"/>
        <v>906.80000000000007</v>
      </c>
      <c r="W11" s="45">
        <f t="shared" si="4"/>
        <v>384</v>
      </c>
      <c r="X11" s="45">
        <f t="shared" si="5"/>
        <v>28.8</v>
      </c>
      <c r="Y11" s="45">
        <f t="shared" si="6"/>
        <v>106</v>
      </c>
      <c r="Z11" s="45">
        <f t="shared" si="7"/>
        <v>394.8</v>
      </c>
      <c r="AA11" s="45">
        <f t="shared" si="8"/>
        <v>169.2</v>
      </c>
      <c r="AB11" s="40">
        <f>'✏️ SME Input'!R11</f>
        <v>8</v>
      </c>
      <c r="AC11" s="45">
        <f t="shared" si="9"/>
        <v>6</v>
      </c>
      <c r="AD11" s="45">
        <f t="shared" si="10"/>
        <v>6</v>
      </c>
      <c r="AE11" s="45">
        <f t="shared" si="11"/>
        <v>6</v>
      </c>
      <c r="AF11" s="45">
        <f t="shared" si="12"/>
        <v>18</v>
      </c>
      <c r="AG11" s="45">
        <f t="shared" si="13"/>
        <v>356.48</v>
      </c>
      <c r="AH11" s="45">
        <f t="shared" si="14"/>
        <v>356.48</v>
      </c>
      <c r="AI11" s="45">
        <f t="shared" si="15"/>
        <v>178.24</v>
      </c>
      <c r="AJ11" s="45">
        <f t="shared" si="16"/>
        <v>192</v>
      </c>
      <c r="AK11" s="45">
        <f t="shared" si="17"/>
        <v>134.39999999999998</v>
      </c>
      <c r="AL11" s="45">
        <f t="shared" si="18"/>
        <v>57.599999999999994</v>
      </c>
      <c r="AM11" s="38">
        <f t="shared" si="19"/>
        <v>879.11999999999989</v>
      </c>
      <c r="AN11" s="41">
        <f t="shared" si="20"/>
        <v>821.52</v>
      </c>
      <c r="AO11" s="42">
        <f t="shared" si="21"/>
        <v>404.15999999999997</v>
      </c>
      <c r="AP11" s="46">
        <f>'✏️ SME Input'!S11</f>
        <v>6</v>
      </c>
      <c r="AQ11" s="46">
        <f>'✏️ SME Input'!T11</f>
        <v>0</v>
      </c>
      <c r="AR11" s="47" t="str">
        <f>'✏️ SME Input'!U11</f>
        <v>Transactional</v>
      </c>
    </row>
    <row r="12" spans="1:44" ht="18" customHeight="1" x14ac:dyDescent="0.3">
      <c r="B12" s="33" t="str">
        <f>'✏️ SME Input'!B12</f>
        <v>Revenue Assurance</v>
      </c>
      <c r="C12" s="34" t="str">
        <f t="shared" si="0"/>
        <v>T3 Complex</v>
      </c>
      <c r="D12" s="35">
        <f>'✏️ SME Input'!D12</f>
        <v>1200</v>
      </c>
      <c r="E12" s="35">
        <f>'✏️ SME Input'!E12</f>
        <v>280</v>
      </c>
      <c r="F12" s="35">
        <f>'✏️ SME Input'!F12</f>
        <v>190</v>
      </c>
      <c r="G12" s="35">
        <f>'✏️ SME Input'!G12</f>
        <v>90</v>
      </c>
      <c r="H12" s="35">
        <f>'✏️ SME Input'!H12</f>
        <v>22</v>
      </c>
      <c r="I12" s="35">
        <f>'✏️ SME Input'!I12</f>
        <v>20</v>
      </c>
      <c r="J12" s="35">
        <f>'✏️ SME Input'!J12</f>
        <v>6</v>
      </c>
      <c r="K12" s="35">
        <f>'✏️ SME Input'!K12</f>
        <v>8</v>
      </c>
      <c r="L12" s="35">
        <f>'✏️ SME Input'!L12</f>
        <v>40</v>
      </c>
      <c r="M12" s="35">
        <f>'✏️ SME Input'!M12</f>
        <v>50</v>
      </c>
      <c r="N12" s="21">
        <f>'✏️ SME Input'!N12</f>
        <v>20</v>
      </c>
      <c r="O12" s="36" t="str">
        <f>'✏️ SME Input'!O12</f>
        <v>High</v>
      </c>
      <c r="P12" s="36" t="str">
        <f>'✏️ SME Input'!P12</f>
        <v>EC2 (Lift &amp; Shift)</v>
      </c>
      <c r="Q12" s="36" t="str">
        <f>'✏️ SME Input'!C12</f>
        <v>Wave 4</v>
      </c>
      <c r="R12" s="37">
        <f t="shared" si="1"/>
        <v>3867.328</v>
      </c>
      <c r="S12" s="37">
        <f>((((D12/100)*0.5+F12*0.5+G12*0.2+H12*0.8+I12*1+J12*3+K12*5+(D12/100)*0.3)*8+(L12*IF(O12="High",2,IF(O12="Medium",1,0.5)))*8+(M12*IF(P12="EC2 (Lift &amp; Shift)",0.2,IF(P12="AWS QuickSight",1.5,IF(P12="Power BI",1,0.5))))*8+(10+(D12/100)*0.5)*8)*0.08)*(1-'📊 Dashboard'!C10/100)+((((D12/100)*0.5+F12*0.5+G12*0.2+H12*0.8+I12*1+J12*3+K12*5+(D12/100)*0.3)*8+(D12/100)*0.3*8))*(1-'📊 Dashboard'!C10/100)+((L12*IF(O12="High",2,IF(O12="Medium",1,0.5)))*8)*(1-'📊 Dashboard'!C11/100)+((M12*IF(P12="EC2 (Lift &amp; Shift)",0.2,IF(P12="AWS QuickSight",1.5,IF(P12="Power BI",1,0.5))))*8)*(1-'📊 Dashboard'!C12/100)+((10+(D12/100)*0.5)*8)*(1-'📊 Dashboard'!C10/100)+((((D12/100)*0.5+F12*0.5+G12*0.2+H12*0.8+I12*1+J12*3+K12*5+(D12/100)*0.3)*8+(L12*IF(O12="High",2,IF(O12="Medium",1,0.5)))*8+(M12*IF(P12="EC2 (Lift &amp; Shift)",0.2,IF(P12="AWS QuickSight",1.5,IF(P12="Power BI",1,0.5))))*8+(10+(D12/100)*0.5)*8)*0.28)*(1-'📊 Dashboard'!C13/100)+((((D12/100)*0.5+F12*0.5+G12*0.2+H12*0.8+I12*1+J12*3+K12*5+(D12/100)*0.3)*8+(L12*IF(O12="High",2,IF(O12="Medium",1,0.5)))*8+(M12*IF(P12="EC2 (Lift &amp; Shift)",0.2,IF(P12="AWS QuickSight",1.5,IF(P12="Power BI",1,0.5))))*8+(10+(D12/100)*0.5)*8)*0.12)*(1-'📊 Dashboard'!C10/100)</f>
        <v>2819.7503999999999</v>
      </c>
      <c r="T12" s="38">
        <f>S12*(1+'📊 Dashboard'!C14/100)</f>
        <v>3242.7129599999998</v>
      </c>
      <c r="U12" s="39">
        <f t="shared" si="2"/>
        <v>207.488</v>
      </c>
      <c r="V12" s="39">
        <f t="shared" si="3"/>
        <v>1774.3999999999999</v>
      </c>
      <c r="W12" s="39">
        <f t="shared" si="4"/>
        <v>640</v>
      </c>
      <c r="X12" s="39">
        <f t="shared" si="5"/>
        <v>80</v>
      </c>
      <c r="Y12" s="39">
        <f t="shared" si="6"/>
        <v>128</v>
      </c>
      <c r="Z12" s="39">
        <f t="shared" si="7"/>
        <v>726.20800000000008</v>
      </c>
      <c r="AA12" s="39">
        <f t="shared" si="8"/>
        <v>311.23199999999997</v>
      </c>
      <c r="AB12" s="40">
        <f>'✏️ SME Input'!R12</f>
        <v>20</v>
      </c>
      <c r="AC12" s="39">
        <f t="shared" si="9"/>
        <v>15</v>
      </c>
      <c r="AD12" s="39">
        <f t="shared" si="10"/>
        <v>15</v>
      </c>
      <c r="AE12" s="39">
        <f t="shared" si="11"/>
        <v>15</v>
      </c>
      <c r="AF12" s="39">
        <f t="shared" si="12"/>
        <v>45</v>
      </c>
      <c r="AG12" s="39">
        <f t="shared" si="13"/>
        <v>698.24</v>
      </c>
      <c r="AH12" s="39">
        <f t="shared" si="14"/>
        <v>698.24</v>
      </c>
      <c r="AI12" s="39">
        <f t="shared" si="15"/>
        <v>349.12</v>
      </c>
      <c r="AJ12" s="39">
        <f t="shared" si="16"/>
        <v>320</v>
      </c>
      <c r="AK12" s="39">
        <f t="shared" si="17"/>
        <v>224</v>
      </c>
      <c r="AL12" s="39">
        <f t="shared" si="18"/>
        <v>96</v>
      </c>
      <c r="AM12" s="38">
        <f t="shared" si="19"/>
        <v>1614.4112000000002</v>
      </c>
      <c r="AN12" s="41">
        <f t="shared" si="20"/>
        <v>1518.4112000000002</v>
      </c>
      <c r="AO12" s="42">
        <f t="shared" si="21"/>
        <v>750.70560000000012</v>
      </c>
      <c r="AP12" s="40">
        <f>'✏️ SME Input'!S12</f>
        <v>20</v>
      </c>
      <c r="AQ12" s="40">
        <f>'✏️ SME Input'!T12</f>
        <v>3</v>
      </c>
      <c r="AR12" s="43" t="str">
        <f>'✏️ SME Input'!U12</f>
        <v>Mixed</v>
      </c>
    </row>
    <row r="13" spans="1:44" ht="18" customHeight="1" x14ac:dyDescent="0.3">
      <c r="B13" s="44" t="str">
        <f>'✏️ SME Input'!B13</f>
        <v>Fraud Management</v>
      </c>
      <c r="C13" s="34" t="str">
        <f t="shared" si="0"/>
        <v>T1 Simple</v>
      </c>
      <c r="D13" s="35">
        <f>'✏️ SME Input'!D13</f>
        <v>340</v>
      </c>
      <c r="E13" s="35">
        <f>'✏️ SME Input'!E13</f>
        <v>95</v>
      </c>
      <c r="F13" s="35">
        <f>'✏️ SME Input'!F13</f>
        <v>65</v>
      </c>
      <c r="G13" s="35">
        <f>'✏️ SME Input'!G13</f>
        <v>35</v>
      </c>
      <c r="H13" s="35">
        <f>'✏️ SME Input'!H13</f>
        <v>8</v>
      </c>
      <c r="I13" s="35">
        <f>'✏️ SME Input'!I13</f>
        <v>6</v>
      </c>
      <c r="J13" s="35">
        <f>'✏️ SME Input'!J13</f>
        <v>1</v>
      </c>
      <c r="K13" s="35">
        <f>'✏️ SME Input'!K13</f>
        <v>4</v>
      </c>
      <c r="L13" s="35">
        <f>'✏️ SME Input'!L13</f>
        <v>15</v>
      </c>
      <c r="M13" s="35">
        <f>'✏️ SME Input'!M13</f>
        <v>12</v>
      </c>
      <c r="N13" s="21">
        <f>'✏️ SME Input'!N13</f>
        <v>3</v>
      </c>
      <c r="O13" s="36" t="str">
        <f>'✏️ SME Input'!O13</f>
        <v>Medium</v>
      </c>
      <c r="P13" s="36" t="str">
        <f>'✏️ SME Input'!P13</f>
        <v>Power BI</v>
      </c>
      <c r="Q13" s="36" t="str">
        <f>'✏️ SME Input'!C13</f>
        <v>Wave 2</v>
      </c>
      <c r="R13" s="37">
        <f t="shared" si="1"/>
        <v>1385.3887999999999</v>
      </c>
      <c r="S13" s="37">
        <f>((((D13/100)*0.5+F13*0.5+G13*0.2+H13*0.8+I13*1+J13*3+K13*5+(D13/100)*0.3)*8+(L13*IF(O13="High",2,IF(O13="Medium",1,0.5)))*8+(M13*IF(P13="EC2 (Lift &amp; Shift)",0.2,IF(P13="AWS QuickSight",1.5,IF(P13="Power BI",1,0.5))))*8+(10+(D13/100)*0.5)*8)*0.08)*(1-'📊 Dashboard'!C10/100)+((((D13/100)*0.5+F13*0.5+G13*0.2+H13*0.8+I13*1+J13*3+K13*5+(D13/100)*0.3)*8+(D13/100)*0.3*8))*(1-'📊 Dashboard'!C10/100)+((L13*IF(O13="High",2,IF(O13="Medium",1,0.5)))*8)*(1-'📊 Dashboard'!C11/100)+((M13*IF(P13="EC2 (Lift &amp; Shift)",0.2,IF(P13="AWS QuickSight",1.5,IF(P13="Power BI",1,0.5))))*8)*(1-'📊 Dashboard'!C12/100)+((10+(D13/100)*0.5)*8)*(1-'📊 Dashboard'!C10/100)+((((D13/100)*0.5+F13*0.5+G13*0.2+H13*0.8+I13*1+J13*3+K13*5+(D13/100)*0.3)*8+(L13*IF(O13="High",2,IF(O13="Medium",1,0.5)))*8+(M13*IF(P13="EC2 (Lift &amp; Shift)",0.2,IF(P13="AWS QuickSight",1.5,IF(P13="Power BI",1,0.5))))*8+(10+(D13/100)*0.5)*8)*0.28)*(1-'📊 Dashboard'!C13/100)+((((D13/100)*0.5+F13*0.5+G13*0.2+H13*0.8+I13*1+J13*3+K13*5+(D13/100)*0.3)*8+(L13*IF(O13="High",2,IF(O13="Medium",1,0.5)))*8+(M13*IF(P13="EC2 (Lift &amp; Shift)",0.2,IF(P13="AWS QuickSight",1.5,IF(P13="Power BI",1,0.5))))*8+(10+(D13/100)*0.5)*8)*0.12)*(1-'📊 Dashboard'!C10/100)</f>
        <v>1011.4278399999998</v>
      </c>
      <c r="T13" s="38">
        <f>S13*(1+'📊 Dashboard'!C14/100)</f>
        <v>1163.1420159999998</v>
      </c>
      <c r="U13" s="45">
        <f t="shared" si="2"/>
        <v>74.444800000000001</v>
      </c>
      <c r="V13" s="45">
        <f t="shared" si="3"/>
        <v>629.11999999999989</v>
      </c>
      <c r="W13" s="45">
        <f t="shared" si="4"/>
        <v>120</v>
      </c>
      <c r="X13" s="45">
        <f t="shared" si="5"/>
        <v>96</v>
      </c>
      <c r="Y13" s="45">
        <f t="shared" si="6"/>
        <v>93.6</v>
      </c>
      <c r="Z13" s="45">
        <f t="shared" si="7"/>
        <v>260.55680000000001</v>
      </c>
      <c r="AA13" s="45">
        <f t="shared" si="8"/>
        <v>111.66719999999999</v>
      </c>
      <c r="AB13" s="40">
        <f>'✏️ SME Input'!R13</f>
        <v>3</v>
      </c>
      <c r="AC13" s="45">
        <f t="shared" si="9"/>
        <v>2.25</v>
      </c>
      <c r="AD13" s="45">
        <f t="shared" si="10"/>
        <v>2.25</v>
      </c>
      <c r="AE13" s="45">
        <f t="shared" si="11"/>
        <v>2.25</v>
      </c>
      <c r="AF13" s="45">
        <f t="shared" si="12"/>
        <v>6.75</v>
      </c>
      <c r="AG13" s="45">
        <f t="shared" si="13"/>
        <v>248.38399999999999</v>
      </c>
      <c r="AH13" s="45">
        <f t="shared" si="14"/>
        <v>248.38399999999999</v>
      </c>
      <c r="AI13" s="45">
        <f t="shared" si="15"/>
        <v>124.19199999999999</v>
      </c>
      <c r="AJ13" s="45">
        <f t="shared" si="16"/>
        <v>60</v>
      </c>
      <c r="AK13" s="45">
        <f t="shared" si="17"/>
        <v>42</v>
      </c>
      <c r="AL13" s="45">
        <f t="shared" si="18"/>
        <v>18</v>
      </c>
      <c r="AM13" s="38">
        <f t="shared" si="19"/>
        <v>565.14152000000001</v>
      </c>
      <c r="AN13" s="41">
        <f t="shared" si="20"/>
        <v>547.14152000000001</v>
      </c>
      <c r="AO13" s="42">
        <f t="shared" si="21"/>
        <v>271.69576000000001</v>
      </c>
      <c r="AP13" s="46">
        <f>'✏️ SME Input'!S13</f>
        <v>4</v>
      </c>
      <c r="AQ13" s="46">
        <f>'✏️ SME Input'!T13</f>
        <v>0</v>
      </c>
      <c r="AR13" s="47" t="str">
        <f>'✏️ SME Input'!U13</f>
        <v>Transactional</v>
      </c>
    </row>
    <row r="14" spans="1:44" ht="18" customHeight="1" x14ac:dyDescent="0.3">
      <c r="B14" s="33" t="str">
        <f>'✏️ SME Input'!B14</f>
        <v>Network Inventory DB</v>
      </c>
      <c r="C14" s="34" t="str">
        <f t="shared" si="0"/>
        <v>T2 Moderate</v>
      </c>
      <c r="D14" s="35">
        <f>'✏️ SME Input'!D14</f>
        <v>560</v>
      </c>
      <c r="E14" s="35">
        <f>'✏️ SME Input'!E14</f>
        <v>130</v>
      </c>
      <c r="F14" s="35">
        <f>'✏️ SME Input'!F14</f>
        <v>95</v>
      </c>
      <c r="G14" s="35">
        <f>'✏️ SME Input'!G14</f>
        <v>48</v>
      </c>
      <c r="H14" s="35">
        <f>'✏️ SME Input'!H14</f>
        <v>10</v>
      </c>
      <c r="I14" s="35">
        <f>'✏️ SME Input'!I14</f>
        <v>9</v>
      </c>
      <c r="J14" s="35">
        <f>'✏️ SME Input'!J14</f>
        <v>2</v>
      </c>
      <c r="K14" s="35">
        <f>'✏️ SME Input'!K14</f>
        <v>1</v>
      </c>
      <c r="L14" s="35">
        <f>'✏️ SME Input'!L14</f>
        <v>20</v>
      </c>
      <c r="M14" s="35">
        <f>'✏️ SME Input'!M14</f>
        <v>16</v>
      </c>
      <c r="N14" s="21">
        <f>'✏️ SME Input'!N14</f>
        <v>6</v>
      </c>
      <c r="O14" s="36" t="str">
        <f>'✏️ SME Input'!O14</f>
        <v>Medium</v>
      </c>
      <c r="P14" s="36" t="str">
        <f>'✏️ SME Input'!P14</f>
        <v>AWS QuickSight</v>
      </c>
      <c r="Q14" s="36" t="str">
        <f>'✏️ SME Input'!C14</f>
        <v>Wave 2</v>
      </c>
      <c r="R14" s="37">
        <f t="shared" si="1"/>
        <v>1746.5792000000006</v>
      </c>
      <c r="S14" s="37">
        <f>((((D14/100)*0.5+F14*0.5+G14*0.2+H14*0.8+I14*1+J14*3+K14*5+(D14/100)*0.3)*8+(L14*IF(O14="High",2,IF(O14="Medium",1,0.5)))*8+(M14*IF(P14="EC2 (Lift &amp; Shift)",0.2,IF(P14="AWS QuickSight",1.5,IF(P14="Power BI",1,0.5))))*8+(10+(D14/100)*0.5)*8)*0.08)*(1-'📊 Dashboard'!C10/100)+((((D14/100)*0.5+F14*0.5+G14*0.2+H14*0.8+I14*1+J14*3+K14*5+(D14/100)*0.3)*8+(D14/100)*0.3*8))*(1-'📊 Dashboard'!C10/100)+((L14*IF(O14="High",2,IF(O14="Medium",1,0.5)))*8)*(1-'📊 Dashboard'!C11/100)+((M14*IF(P14="EC2 (Lift &amp; Shift)",0.2,IF(P14="AWS QuickSight",1.5,IF(P14="Power BI",1,0.5))))*8)*(1-'📊 Dashboard'!C12/100)+((10+(D14/100)*0.5)*8)*(1-'📊 Dashboard'!C10/100)+((((D14/100)*0.5+F14*0.5+G14*0.2+H14*0.8+I14*1+J14*3+K14*5+(D14/100)*0.3)*8+(L14*IF(O14="High",2,IF(O14="Medium",1,0.5)))*8+(M14*IF(P14="EC2 (Lift &amp; Shift)",0.2,IF(P14="AWS QuickSight",1.5,IF(P14="Power BI",1,0.5))))*8+(10+(D14/100)*0.5)*8)*0.28)*(1-'📊 Dashboard'!C13/100)+((((D14/100)*0.5+F14*0.5+G14*0.2+H14*0.8+I14*1+J14*3+K14*5+(D14/100)*0.3)*8+(L14*IF(O14="High",2,IF(O14="Medium",1,0.5)))*8+(M14*IF(P14="EC2 (Lift &amp; Shift)",0.2,IF(P14="AWS QuickSight",1.5,IF(P14="Power BI",1,0.5))))*8+(10+(D14/100)*0.5)*8)*0.12)*(1-'📊 Dashboard'!C10/100)</f>
        <v>1282.5945600000002</v>
      </c>
      <c r="T14" s="38">
        <f>S14*(1+'📊 Dashboard'!C14/100)</f>
        <v>1474.9837440000001</v>
      </c>
      <c r="U14" s="39">
        <f t="shared" si="2"/>
        <v>93.683200000000014</v>
      </c>
      <c r="V14" s="39">
        <f t="shared" si="3"/>
        <v>730.08000000000015</v>
      </c>
      <c r="W14" s="39">
        <f t="shared" si="4"/>
        <v>160</v>
      </c>
      <c r="X14" s="39">
        <f t="shared" si="5"/>
        <v>192</v>
      </c>
      <c r="Y14" s="39">
        <f t="shared" si="6"/>
        <v>102.4</v>
      </c>
      <c r="Z14" s="39">
        <f t="shared" si="7"/>
        <v>327.89120000000008</v>
      </c>
      <c r="AA14" s="39">
        <f t="shared" si="8"/>
        <v>140.52480000000003</v>
      </c>
      <c r="AB14" s="40">
        <f>'✏️ SME Input'!R14</f>
        <v>6</v>
      </c>
      <c r="AC14" s="39">
        <f t="shared" si="9"/>
        <v>4.5</v>
      </c>
      <c r="AD14" s="39">
        <f t="shared" si="10"/>
        <v>4.5</v>
      </c>
      <c r="AE14" s="39">
        <f t="shared" si="11"/>
        <v>4.5</v>
      </c>
      <c r="AF14" s="39">
        <f t="shared" si="12"/>
        <v>13.5</v>
      </c>
      <c r="AG14" s="39">
        <f t="shared" si="13"/>
        <v>286.65600000000006</v>
      </c>
      <c r="AH14" s="39">
        <f t="shared" si="14"/>
        <v>286.65600000000006</v>
      </c>
      <c r="AI14" s="39">
        <f t="shared" si="15"/>
        <v>143.32800000000003</v>
      </c>
      <c r="AJ14" s="39">
        <f t="shared" si="16"/>
        <v>80</v>
      </c>
      <c r="AK14" s="39">
        <f t="shared" si="17"/>
        <v>56</v>
      </c>
      <c r="AL14" s="39">
        <f t="shared" si="18"/>
        <v>24</v>
      </c>
      <c r="AM14" s="38">
        <f t="shared" si="19"/>
        <v>713.7556800000001</v>
      </c>
      <c r="AN14" s="41">
        <f t="shared" si="20"/>
        <v>689.7556800000001</v>
      </c>
      <c r="AO14" s="42">
        <f t="shared" si="21"/>
        <v>343.12784000000005</v>
      </c>
      <c r="AP14" s="40">
        <f>'✏️ SME Input'!S14</f>
        <v>5</v>
      </c>
      <c r="AQ14" s="40">
        <f>'✏️ SME Input'!T14</f>
        <v>0</v>
      </c>
      <c r="AR14" s="43" t="str">
        <f>'✏️ SME Input'!U14</f>
        <v>Transactional</v>
      </c>
    </row>
    <row r="15" spans="1:44" ht="18" customHeight="1" x14ac:dyDescent="0.3">
      <c r="B15" s="44" t="str">
        <f>'✏️ SME Input'!B15</f>
        <v>CRM Integration DB</v>
      </c>
      <c r="C15" s="34" t="str">
        <f t="shared" si="0"/>
        <v>T1 Simple</v>
      </c>
      <c r="D15" s="35">
        <f>'✏️ SME Input'!D15</f>
        <v>220</v>
      </c>
      <c r="E15" s="35">
        <f>'✏️ SME Input'!E15</f>
        <v>75</v>
      </c>
      <c r="F15" s="35">
        <f>'✏️ SME Input'!F15</f>
        <v>50</v>
      </c>
      <c r="G15" s="35">
        <f>'✏️ SME Input'!G15</f>
        <v>28</v>
      </c>
      <c r="H15" s="35">
        <f>'✏️ SME Input'!H15</f>
        <v>6</v>
      </c>
      <c r="I15" s="35">
        <f>'✏️ SME Input'!I15</f>
        <v>4</v>
      </c>
      <c r="J15" s="35">
        <f>'✏️ SME Input'!J15</f>
        <v>0</v>
      </c>
      <c r="K15" s="35">
        <f>'✏️ SME Input'!K15</f>
        <v>0</v>
      </c>
      <c r="L15" s="35">
        <f>'✏️ SME Input'!L15</f>
        <v>10</v>
      </c>
      <c r="M15" s="35">
        <f>'✏️ SME Input'!M15</f>
        <v>8</v>
      </c>
      <c r="N15" s="21">
        <f>'✏️ SME Input'!N15</f>
        <v>2</v>
      </c>
      <c r="O15" s="36" t="str">
        <f>'✏️ SME Input'!O15</f>
        <v>Medium</v>
      </c>
      <c r="P15" s="36" t="str">
        <f>'✏️ SME Input'!P15</f>
        <v>AWS QuickSight</v>
      </c>
      <c r="Q15" s="36" t="str">
        <f>'✏️ SME Input'!C15</f>
        <v>Wave 1</v>
      </c>
      <c r="R15" s="37">
        <f t="shared" si="1"/>
        <v>884.51839999999982</v>
      </c>
      <c r="S15" s="37">
        <f>((((D15/100)*0.5+F15*0.5+G15*0.2+H15*0.8+I15*1+J15*3+K15*5+(D15/100)*0.3)*8+(L15*IF(O15="High",2,IF(O15="Medium",1,0.5)))*8+(M15*IF(P15="EC2 (Lift &amp; Shift)",0.2,IF(P15="AWS QuickSight",1.5,IF(P15="Power BI",1,0.5))))*8+(10+(D15/100)*0.5)*8)*0.08)*(1-'📊 Dashboard'!C10/100)+((((D15/100)*0.5+F15*0.5+G15*0.2+H15*0.8+I15*1+J15*3+K15*5+(D15/100)*0.3)*8+(D15/100)*0.3*8))*(1-'📊 Dashboard'!C10/100)+((L15*IF(O15="High",2,IF(O15="Medium",1,0.5)))*8)*(1-'📊 Dashboard'!C11/100)+((M15*IF(P15="EC2 (Lift &amp; Shift)",0.2,IF(P15="AWS QuickSight",1.5,IF(P15="Power BI",1,0.5))))*8)*(1-'📊 Dashboard'!C12/100)+((10+(D15/100)*0.5)*8)*(1-'📊 Dashboard'!C10/100)+((((D15/100)*0.5+F15*0.5+G15*0.2+H15*0.8+I15*1+J15*3+K15*5+(D15/100)*0.3)*8+(L15*IF(O15="High",2,IF(O15="Medium",1,0.5)))*8+(M15*IF(P15="EC2 (Lift &amp; Shift)",0.2,IF(P15="AWS QuickSight",1.5,IF(P15="Power BI",1,0.5))))*8+(10+(D15/100)*0.5)*8)*0.28)*(1-'📊 Dashboard'!C13/100)+((((D15/100)*0.5+F15*0.5+G15*0.2+H15*0.8+I15*1+J15*3+K15*5+(D15/100)*0.3)*8+(L15*IF(O15="High",2,IF(O15="Medium",1,0.5)))*8+(M15*IF(P15="EC2 (Lift &amp; Shift)",0.2,IF(P15="AWS QuickSight",1.5,IF(P15="Power BI",1,0.5))))*8+(10+(D15/100)*0.5)*8)*0.12)*(1-'📊 Dashboard'!C10/100)</f>
        <v>649.39712000000009</v>
      </c>
      <c r="T15" s="38">
        <f>S15*(1+'📊 Dashboard'!C14/100)</f>
        <v>746.80668800000001</v>
      </c>
      <c r="U15" s="45">
        <f t="shared" si="2"/>
        <v>47.526399999999995</v>
      </c>
      <c r="V15" s="45">
        <f t="shared" si="3"/>
        <v>334.55999999999995</v>
      </c>
      <c r="W15" s="45">
        <f t="shared" si="4"/>
        <v>80</v>
      </c>
      <c r="X15" s="45">
        <f t="shared" si="5"/>
        <v>96</v>
      </c>
      <c r="Y15" s="45">
        <f t="shared" si="6"/>
        <v>88.8</v>
      </c>
      <c r="Z15" s="45">
        <f t="shared" si="7"/>
        <v>166.3424</v>
      </c>
      <c r="AA15" s="45">
        <f t="shared" si="8"/>
        <v>71.289599999999993</v>
      </c>
      <c r="AB15" s="40">
        <f>'✏️ SME Input'!R15</f>
        <v>2</v>
      </c>
      <c r="AC15" s="45">
        <f t="shared" si="9"/>
        <v>1.5</v>
      </c>
      <c r="AD15" s="45">
        <f t="shared" si="10"/>
        <v>1.5</v>
      </c>
      <c r="AE15" s="45">
        <f t="shared" si="11"/>
        <v>1.5</v>
      </c>
      <c r="AF15" s="45">
        <f t="shared" si="12"/>
        <v>4.5</v>
      </c>
      <c r="AG15" s="45">
        <f t="shared" si="13"/>
        <v>131.71199999999999</v>
      </c>
      <c r="AH15" s="45">
        <f t="shared" si="14"/>
        <v>131.71199999999999</v>
      </c>
      <c r="AI15" s="45">
        <f t="shared" si="15"/>
        <v>65.855999999999995</v>
      </c>
      <c r="AJ15" s="45">
        <f t="shared" si="16"/>
        <v>40</v>
      </c>
      <c r="AK15" s="45">
        <f t="shared" si="17"/>
        <v>28</v>
      </c>
      <c r="AL15" s="45">
        <f t="shared" si="18"/>
        <v>12</v>
      </c>
      <c r="AM15" s="38">
        <f t="shared" si="19"/>
        <v>361.19535999999999</v>
      </c>
      <c r="AN15" s="41">
        <f t="shared" si="20"/>
        <v>349.19535999999999</v>
      </c>
      <c r="AO15" s="42">
        <f t="shared" si="21"/>
        <v>173.34768</v>
      </c>
      <c r="AP15" s="46">
        <f>'✏️ SME Input'!S15</f>
        <v>2</v>
      </c>
      <c r="AQ15" s="46">
        <f>'✏️ SME Input'!T15</f>
        <v>0</v>
      </c>
      <c r="AR15" s="47" t="str">
        <f>'✏️ SME Input'!U15</f>
        <v>None</v>
      </c>
    </row>
    <row r="16" spans="1:44" ht="18" customHeight="1" x14ac:dyDescent="0.3">
      <c r="B16" s="33" t="str">
        <f>'✏️ SME Input'!B16</f>
        <v>Product Catalogue</v>
      </c>
      <c r="C16" s="34" t="str">
        <f t="shared" si="0"/>
        <v>T1 Simple</v>
      </c>
      <c r="D16" s="35">
        <f>'✏️ SME Input'!D16</f>
        <v>90</v>
      </c>
      <c r="E16" s="35">
        <f>'✏️ SME Input'!E16</f>
        <v>45</v>
      </c>
      <c r="F16" s="35">
        <f>'✏️ SME Input'!F16</f>
        <v>30</v>
      </c>
      <c r="G16" s="35">
        <f>'✏️ SME Input'!G16</f>
        <v>20</v>
      </c>
      <c r="H16" s="35">
        <f>'✏️ SME Input'!H16</f>
        <v>3</v>
      </c>
      <c r="I16" s="35">
        <f>'✏️ SME Input'!I16</f>
        <v>2</v>
      </c>
      <c r="J16" s="35">
        <f>'✏️ SME Input'!J16</f>
        <v>0</v>
      </c>
      <c r="K16" s="35">
        <f>'✏️ SME Input'!K16</f>
        <v>0</v>
      </c>
      <c r="L16" s="35">
        <f>'✏️ SME Input'!L16</f>
        <v>4</v>
      </c>
      <c r="M16" s="35">
        <f>'✏️ SME Input'!M16</f>
        <v>5</v>
      </c>
      <c r="N16" s="21">
        <f>'✏️ SME Input'!N16</f>
        <v>0</v>
      </c>
      <c r="O16" s="36" t="str">
        <f>'✏️ SME Input'!O16</f>
        <v>Low</v>
      </c>
      <c r="P16" s="36" t="str">
        <f>'✏️ SME Input'!P16</f>
        <v>AWS QuickSight</v>
      </c>
      <c r="Q16" s="36" t="str">
        <f>'✏️ SME Input'!C16</f>
        <v>Wave 1</v>
      </c>
      <c r="R16" s="37">
        <f t="shared" si="1"/>
        <v>523.94880000000001</v>
      </c>
      <c r="S16" s="37">
        <f>((((D16/100)*0.5+F16*0.5+G16*0.2+H16*0.8+I16*1+J16*3+K16*5+(D16/100)*0.3)*8+(L16*IF(O16="High",2,IF(O16="Medium",1,0.5)))*8+(M16*IF(P16="EC2 (Lift &amp; Shift)",0.2,IF(P16="AWS QuickSight",1.5,IF(P16="Power BI",1,0.5))))*8+(10+(D16/100)*0.5)*8)*0.08)*(1-'📊 Dashboard'!C10/100)+((((D16/100)*0.5+F16*0.5+G16*0.2+H16*0.8+I16*1+J16*3+K16*5+(D16/100)*0.3)*8+(D16/100)*0.3*8))*(1-'📊 Dashboard'!C10/100)+((L16*IF(O16="High",2,IF(O16="Medium",1,0.5)))*8)*(1-'📊 Dashboard'!C11/100)+((M16*IF(P16="EC2 (Lift &amp; Shift)",0.2,IF(P16="AWS QuickSight",1.5,IF(P16="Power BI",1,0.5))))*8)*(1-'📊 Dashboard'!C12/100)+((10+(D16/100)*0.5)*8)*(1-'📊 Dashboard'!C10/100)+((((D16/100)*0.5+F16*0.5+G16*0.2+H16*0.8+I16*1+J16*3+K16*5+(D16/100)*0.3)*8+(L16*IF(O16="High",2,IF(O16="Medium",1,0.5)))*8+(M16*IF(P16="EC2 (Lift &amp; Shift)",0.2,IF(P16="AWS QuickSight",1.5,IF(P16="Power BI",1,0.5))))*8+(10+(D16/100)*0.5)*8)*0.28)*(1-'📊 Dashboard'!C13/100)+((((D16/100)*0.5+F16*0.5+G16*0.2+H16*0.8+I16*1+J16*3+K16*5+(D16/100)*0.3)*8+(L16*IF(O16="High",2,IF(O16="Medium",1,0.5)))*8+(M16*IF(P16="EC2 (Lift &amp; Shift)",0.2,IF(P16="AWS QuickSight",1.5,IF(P16="Power BI",1,0.5))))*8+(10+(D16/100)*0.5)*8)*0.12)*(1-'📊 Dashboard'!C10/100)</f>
        <v>383.43584000000004</v>
      </c>
      <c r="T16" s="38">
        <f>S16*(1+'📊 Dashboard'!C14/100)</f>
        <v>440.95121599999999</v>
      </c>
      <c r="U16" s="39">
        <f t="shared" si="2"/>
        <v>28.204800000000006</v>
      </c>
      <c r="V16" s="39">
        <f t="shared" si="3"/>
        <v>195.12</v>
      </c>
      <c r="W16" s="39">
        <f t="shared" si="4"/>
        <v>16</v>
      </c>
      <c r="X16" s="39">
        <f t="shared" si="5"/>
        <v>60</v>
      </c>
      <c r="Y16" s="39">
        <f t="shared" si="6"/>
        <v>83.6</v>
      </c>
      <c r="Z16" s="39">
        <f t="shared" si="7"/>
        <v>98.716800000000021</v>
      </c>
      <c r="AA16" s="39">
        <f t="shared" si="8"/>
        <v>42.307200000000009</v>
      </c>
      <c r="AB16" s="40">
        <f>'✏️ SME Input'!R16</f>
        <v>0</v>
      </c>
      <c r="AC16" s="39">
        <f t="shared" si="9"/>
        <v>0</v>
      </c>
      <c r="AD16" s="39">
        <f t="shared" si="10"/>
        <v>0</v>
      </c>
      <c r="AE16" s="39">
        <f t="shared" si="11"/>
        <v>0</v>
      </c>
      <c r="AF16" s="39">
        <f t="shared" si="12"/>
        <v>0</v>
      </c>
      <c r="AG16" s="39">
        <f t="shared" si="13"/>
        <v>77.184000000000012</v>
      </c>
      <c r="AH16" s="39">
        <f t="shared" si="14"/>
        <v>77.184000000000012</v>
      </c>
      <c r="AI16" s="39">
        <f t="shared" si="15"/>
        <v>38.592000000000006</v>
      </c>
      <c r="AJ16" s="39">
        <f t="shared" si="16"/>
        <v>8</v>
      </c>
      <c r="AK16" s="39">
        <f t="shared" si="17"/>
        <v>5.6</v>
      </c>
      <c r="AL16" s="39">
        <f t="shared" si="18"/>
        <v>2.4</v>
      </c>
      <c r="AM16" s="38">
        <f t="shared" si="19"/>
        <v>210.31552000000005</v>
      </c>
      <c r="AN16" s="41">
        <f t="shared" si="20"/>
        <v>207.91552000000001</v>
      </c>
      <c r="AO16" s="42">
        <f t="shared" si="21"/>
        <v>103.55776000000002</v>
      </c>
      <c r="AP16" s="40">
        <f>'✏️ SME Input'!S16</f>
        <v>0</v>
      </c>
      <c r="AQ16" s="40">
        <f>'✏️ SME Input'!T16</f>
        <v>0</v>
      </c>
      <c r="AR16" s="43" t="str">
        <f>'✏️ SME Input'!U16</f>
        <v>None</v>
      </c>
    </row>
    <row r="17" spans="2:44" ht="18" customHeight="1" x14ac:dyDescent="0.3">
      <c r="B17" s="44" t="str">
        <f>'✏️ SME Input'!B17</f>
        <v>Mediation Platform</v>
      </c>
      <c r="C17" s="34" t="str">
        <f t="shared" si="0"/>
        <v>T2 Moderate</v>
      </c>
      <c r="D17" s="35">
        <f>'✏️ SME Input'!D17</f>
        <v>780</v>
      </c>
      <c r="E17" s="35">
        <f>'✏️ SME Input'!E17</f>
        <v>180</v>
      </c>
      <c r="F17" s="35">
        <f>'✏️ SME Input'!F17</f>
        <v>125</v>
      </c>
      <c r="G17" s="35">
        <f>'✏️ SME Input'!G17</f>
        <v>65</v>
      </c>
      <c r="H17" s="35">
        <f>'✏️ SME Input'!H17</f>
        <v>16</v>
      </c>
      <c r="I17" s="35">
        <f>'✏️ SME Input'!I17</f>
        <v>12</v>
      </c>
      <c r="J17" s="35">
        <f>'✏️ SME Input'!J17</f>
        <v>3</v>
      </c>
      <c r="K17" s="35">
        <f>'✏️ SME Input'!K17</f>
        <v>5</v>
      </c>
      <c r="L17" s="35">
        <f>'✏️ SME Input'!L17</f>
        <v>28</v>
      </c>
      <c r="M17" s="35">
        <f>'✏️ SME Input'!M17</f>
        <v>20</v>
      </c>
      <c r="N17" s="21">
        <f>'✏️ SME Input'!N17</f>
        <v>10</v>
      </c>
      <c r="O17" s="36" t="str">
        <f>'✏️ SME Input'!O17</f>
        <v>High</v>
      </c>
      <c r="P17" s="36" t="str">
        <f>'✏️ SME Input'!P17</f>
        <v>EC2 (Lift &amp; Shift)</v>
      </c>
      <c r="Q17" s="36" t="str">
        <f>'✏️ SME Input'!C17</f>
        <v>Wave 3</v>
      </c>
      <c r="R17" s="37">
        <f t="shared" si="1"/>
        <v>2557.6896000000002</v>
      </c>
      <c r="S17" s="37">
        <f>((((D17/100)*0.5+F17*0.5+G17*0.2+H17*0.8+I17*1+J17*3+K17*5+(D17/100)*0.3)*8+(L17*IF(O17="High",2,IF(O17="Medium",1,0.5)))*8+(M17*IF(P17="EC2 (Lift &amp; Shift)",0.2,IF(P17="AWS QuickSight",1.5,IF(P17="Power BI",1,0.5))))*8+(10+(D17/100)*0.5)*8)*0.08)*(1-'📊 Dashboard'!C10/100)+((((D17/100)*0.5+F17*0.5+G17*0.2+H17*0.8+I17*1+J17*3+K17*5+(D17/100)*0.3)*8+(D17/100)*0.3*8))*(1-'📊 Dashboard'!C10/100)+((L17*IF(O17="High",2,IF(O17="Medium",1,0.5)))*8)*(1-'📊 Dashboard'!C11/100)+((M17*IF(P17="EC2 (Lift &amp; Shift)",0.2,IF(P17="AWS QuickSight",1.5,IF(P17="Power BI",1,0.5))))*8)*(1-'📊 Dashboard'!C12/100)+((10+(D17/100)*0.5)*8)*(1-'📊 Dashboard'!C10/100)+((((D17/100)*0.5+F17*0.5+G17*0.2+H17*0.8+I17*1+J17*3+K17*5+(D17/100)*0.3)*8+(L17*IF(O17="High",2,IF(O17="Medium",1,0.5)))*8+(M17*IF(P17="EC2 (Lift &amp; Shift)",0.2,IF(P17="AWS QuickSight",1.5,IF(P17="Power BI",1,0.5))))*8+(10+(D17/100)*0.5)*8)*0.28)*(1-'📊 Dashboard'!C13/100)+((((D17/100)*0.5+F17*0.5+G17*0.2+H17*0.8+I17*1+J17*3+K17*5+(D17/100)*0.3)*8+(L17*IF(O17="High",2,IF(O17="Medium",1,0.5)))*8+(M17*IF(P17="EC2 (Lift &amp; Shift)",0.2,IF(P17="AWS QuickSight",1.5,IF(P17="Power BI",1,0.5))))*8+(10+(D17/100)*0.5)*8)*0.12)*(1-'📊 Dashboard'!C10/100)</f>
        <v>1864.0172799999996</v>
      </c>
      <c r="T17" s="38">
        <f>S17*(1+'📊 Dashboard'!C14/100)</f>
        <v>2143.6198719999993</v>
      </c>
      <c r="U17" s="45">
        <f t="shared" si="2"/>
        <v>137.24160000000001</v>
      </c>
      <c r="V17" s="45">
        <f t="shared" si="3"/>
        <v>1143.04</v>
      </c>
      <c r="W17" s="45">
        <f t="shared" si="4"/>
        <v>448</v>
      </c>
      <c r="X17" s="45">
        <f t="shared" si="5"/>
        <v>32</v>
      </c>
      <c r="Y17" s="45">
        <f t="shared" si="6"/>
        <v>111.2</v>
      </c>
      <c r="Z17" s="45">
        <f t="shared" si="7"/>
        <v>480.34560000000005</v>
      </c>
      <c r="AA17" s="45">
        <f t="shared" si="8"/>
        <v>205.86239999999998</v>
      </c>
      <c r="AB17" s="40">
        <f>'✏️ SME Input'!R17</f>
        <v>10</v>
      </c>
      <c r="AC17" s="45">
        <f t="shared" si="9"/>
        <v>7.5</v>
      </c>
      <c r="AD17" s="45">
        <f t="shared" si="10"/>
        <v>7.5</v>
      </c>
      <c r="AE17" s="45">
        <f t="shared" si="11"/>
        <v>7.5</v>
      </c>
      <c r="AF17" s="45">
        <f t="shared" si="12"/>
        <v>22.5</v>
      </c>
      <c r="AG17" s="45">
        <f t="shared" si="13"/>
        <v>449.72800000000001</v>
      </c>
      <c r="AH17" s="45">
        <f t="shared" si="14"/>
        <v>449.72800000000001</v>
      </c>
      <c r="AI17" s="45">
        <f t="shared" si="15"/>
        <v>224.864</v>
      </c>
      <c r="AJ17" s="45">
        <f t="shared" si="16"/>
        <v>224</v>
      </c>
      <c r="AK17" s="45">
        <f t="shared" si="17"/>
        <v>156.79999999999998</v>
      </c>
      <c r="AL17" s="45">
        <f t="shared" si="18"/>
        <v>67.2</v>
      </c>
      <c r="AM17" s="38">
        <f t="shared" si="19"/>
        <v>1067.8878400000001</v>
      </c>
      <c r="AN17" s="41">
        <f t="shared" si="20"/>
        <v>1000.6878400000001</v>
      </c>
      <c r="AO17" s="42">
        <f t="shared" si="21"/>
        <v>492.89392000000004</v>
      </c>
      <c r="AP17" s="46">
        <f>'✏️ SME Input'!S17</f>
        <v>10</v>
      </c>
      <c r="AQ17" s="46">
        <f>'✏️ SME Input'!T17</f>
        <v>0</v>
      </c>
      <c r="AR17" s="47" t="str">
        <f>'✏️ SME Input'!U17</f>
        <v>Transactional</v>
      </c>
    </row>
    <row r="18" spans="2:44" ht="18" customHeight="1" x14ac:dyDescent="0.3">
      <c r="B18" s="33" t="str">
        <f>'✏️ SME Input'!B18</f>
        <v>Interconnect Billing</v>
      </c>
      <c r="C18" s="34" t="str">
        <f t="shared" si="0"/>
        <v>T1 Simple</v>
      </c>
      <c r="D18" s="35">
        <f>'✏️ SME Input'!D18</f>
        <v>420</v>
      </c>
      <c r="E18" s="35">
        <f>'✏️ SME Input'!E18</f>
        <v>110</v>
      </c>
      <c r="F18" s="35">
        <f>'✏️ SME Input'!F18</f>
        <v>80</v>
      </c>
      <c r="G18" s="35">
        <f>'✏️ SME Input'!G18</f>
        <v>40</v>
      </c>
      <c r="H18" s="35">
        <f>'✏️ SME Input'!H18</f>
        <v>9</v>
      </c>
      <c r="I18" s="35">
        <f>'✏️ SME Input'!I18</f>
        <v>7</v>
      </c>
      <c r="J18" s="35">
        <f>'✏️ SME Input'!J18</f>
        <v>2</v>
      </c>
      <c r="K18" s="35">
        <f>'✏️ SME Input'!K18</f>
        <v>2</v>
      </c>
      <c r="L18" s="35">
        <f>'✏️ SME Input'!L18</f>
        <v>16</v>
      </c>
      <c r="M18" s="35">
        <f>'✏️ SME Input'!M18</f>
        <v>14</v>
      </c>
      <c r="N18" s="21">
        <f>'✏️ SME Input'!N18</f>
        <v>4</v>
      </c>
      <c r="O18" s="36" t="str">
        <f>'✏️ SME Input'!O18</f>
        <v>Medium</v>
      </c>
      <c r="P18" s="36" t="str">
        <f>'✏️ SME Input'!P18</f>
        <v>EC2 (Lift &amp; Shift)</v>
      </c>
      <c r="Q18" s="36" t="str">
        <f>'✏️ SME Input'!C18</f>
        <v>Wave 2</v>
      </c>
      <c r="R18" s="37">
        <f t="shared" si="1"/>
        <v>1341.6064000000003</v>
      </c>
      <c r="S18" s="37">
        <f>((((D18/100)*0.5+F18*0.5+G18*0.2+H18*0.8+I18*1+J18*3+K18*5+(D18/100)*0.3)*8+(L18*IF(O18="High",2,IF(O18="Medium",1,0.5)))*8+(M18*IF(P18="EC2 (Lift &amp; Shift)",0.2,IF(P18="AWS QuickSight",1.5,IF(P18="Power BI",1,0.5))))*8+(10+(D18/100)*0.5)*8)*0.08)*(1-'📊 Dashboard'!C10/100)+((((D18/100)*0.5+F18*0.5+G18*0.2+H18*0.8+I18*1+J18*3+K18*5+(D18/100)*0.3)*8+(D18/100)*0.3*8))*(1-'📊 Dashboard'!C10/100)+((L18*IF(O18="High",2,IF(O18="Medium",1,0.5)))*8)*(1-'📊 Dashboard'!C11/100)+((M18*IF(P18="EC2 (Lift &amp; Shift)",0.2,IF(P18="AWS QuickSight",1.5,IF(P18="Power BI",1,0.5))))*8)*(1-'📊 Dashboard'!C12/100)+((10+(D18/100)*0.5)*8)*(1-'📊 Dashboard'!C10/100)+((((D18/100)*0.5+F18*0.5+G18*0.2+H18*0.8+I18*1+J18*3+K18*5+(D18/100)*0.3)*8+(L18*IF(O18="High",2,IF(O18="Medium",1,0.5)))*8+(M18*IF(P18="EC2 (Lift &amp; Shift)",0.2,IF(P18="AWS QuickSight",1.5,IF(P18="Power BI",1,0.5))))*8+(10+(D18/100)*0.5)*8)*0.28)*(1-'📊 Dashboard'!C13/100)+((((D18/100)*0.5+F18*0.5+G18*0.2+H18*0.8+I18*1+J18*3+K18*5+(D18/100)*0.3)*8+(L18*IF(O18="High",2,IF(O18="Medium",1,0.5)))*8+(M18*IF(P18="EC2 (Lift &amp; Shift)",0.2,IF(P18="AWS QuickSight",1.5,IF(P18="Power BI",1,0.5))))*8+(10+(D18/100)*0.5)*8)*0.12)*(1-'📊 Dashboard'!C10/100)</f>
        <v>972.95552000000009</v>
      </c>
      <c r="T18" s="38">
        <f>S18*(1+'📊 Dashboard'!C14/100)</f>
        <v>1118.898848</v>
      </c>
      <c r="U18" s="39">
        <f t="shared" si="2"/>
        <v>71.974400000000003</v>
      </c>
      <c r="V18" s="39">
        <f t="shared" si="3"/>
        <v>662.56000000000017</v>
      </c>
      <c r="W18" s="39">
        <f t="shared" si="4"/>
        <v>128</v>
      </c>
      <c r="X18" s="39">
        <f t="shared" si="5"/>
        <v>22.400000000000002</v>
      </c>
      <c r="Y18" s="39">
        <f t="shared" si="6"/>
        <v>96.8</v>
      </c>
      <c r="Z18" s="39">
        <f t="shared" si="7"/>
        <v>251.91040000000004</v>
      </c>
      <c r="AA18" s="39">
        <f t="shared" si="8"/>
        <v>107.9616</v>
      </c>
      <c r="AB18" s="40">
        <f>'✏️ SME Input'!R18</f>
        <v>4</v>
      </c>
      <c r="AC18" s="39">
        <f t="shared" si="9"/>
        <v>3</v>
      </c>
      <c r="AD18" s="39">
        <f t="shared" si="10"/>
        <v>3</v>
      </c>
      <c r="AE18" s="39">
        <f t="shared" si="11"/>
        <v>3</v>
      </c>
      <c r="AF18" s="39">
        <f t="shared" si="12"/>
        <v>9</v>
      </c>
      <c r="AG18" s="39">
        <f t="shared" si="13"/>
        <v>260.99200000000008</v>
      </c>
      <c r="AH18" s="39">
        <f t="shared" si="14"/>
        <v>260.99200000000008</v>
      </c>
      <c r="AI18" s="39">
        <f t="shared" si="15"/>
        <v>130.49600000000004</v>
      </c>
      <c r="AJ18" s="39">
        <f t="shared" si="16"/>
        <v>64</v>
      </c>
      <c r="AK18" s="39">
        <f t="shared" si="17"/>
        <v>44.8</v>
      </c>
      <c r="AL18" s="39">
        <f t="shared" si="18"/>
        <v>19.2</v>
      </c>
      <c r="AM18" s="38">
        <f t="shared" si="19"/>
        <v>548.41056000000003</v>
      </c>
      <c r="AN18" s="41">
        <f t="shared" si="20"/>
        <v>529.2105600000001</v>
      </c>
      <c r="AO18" s="42">
        <f t="shared" si="21"/>
        <v>262.90528</v>
      </c>
      <c r="AP18" s="40">
        <f>'✏️ SME Input'!S18</f>
        <v>4</v>
      </c>
      <c r="AQ18" s="40">
        <f>'✏️ SME Input'!T18</f>
        <v>0</v>
      </c>
      <c r="AR18" s="43" t="str">
        <f>'✏️ SME Input'!U18</f>
        <v>Transactional</v>
      </c>
    </row>
    <row r="19" spans="2:44" ht="18" customHeight="1" x14ac:dyDescent="0.3">
      <c r="B19" s="44" t="str">
        <f>'✏️ SME Input'!B19</f>
        <v>Roaming Settlement</v>
      </c>
      <c r="C19" s="34" t="str">
        <f t="shared" si="0"/>
        <v>T1 Simple</v>
      </c>
      <c r="D19" s="35">
        <f>'✏️ SME Input'!D19</f>
        <v>390</v>
      </c>
      <c r="E19" s="35">
        <f>'✏️ SME Input'!E19</f>
        <v>100</v>
      </c>
      <c r="F19" s="35">
        <f>'✏️ SME Input'!F19</f>
        <v>72</v>
      </c>
      <c r="G19" s="35">
        <f>'✏️ SME Input'!G19</f>
        <v>38</v>
      </c>
      <c r="H19" s="35">
        <f>'✏️ SME Input'!H19</f>
        <v>8</v>
      </c>
      <c r="I19" s="35">
        <f>'✏️ SME Input'!I19</f>
        <v>6</v>
      </c>
      <c r="J19" s="35">
        <f>'✏️ SME Input'!J19</f>
        <v>1</v>
      </c>
      <c r="K19" s="35">
        <f>'✏️ SME Input'!K19</f>
        <v>3</v>
      </c>
      <c r="L19" s="35">
        <f>'✏️ SME Input'!L19</f>
        <v>14</v>
      </c>
      <c r="M19" s="35">
        <f>'✏️ SME Input'!M19</f>
        <v>12</v>
      </c>
      <c r="N19" s="21">
        <f>'✏️ SME Input'!N19</f>
        <v>5</v>
      </c>
      <c r="O19" s="36" t="str">
        <f>'✏️ SME Input'!O19</f>
        <v>Medium</v>
      </c>
      <c r="P19" s="36" t="str">
        <f>'✏️ SME Input'!P19</f>
        <v>EC2 (Lift &amp; Shift)</v>
      </c>
      <c r="Q19" s="36" t="str">
        <f>'✏️ SME Input'!C19</f>
        <v>Wave 2</v>
      </c>
      <c r="R19" s="37">
        <f t="shared" si="1"/>
        <v>1258.1248000000001</v>
      </c>
      <c r="S19" s="37">
        <f>((((D19/100)*0.5+F19*0.5+G19*0.2+H19*0.8+I19*1+J19*3+K19*5+(D19/100)*0.3)*8+(L19*IF(O19="High",2,IF(O19="Medium",1,0.5)))*8+(M19*IF(P19="EC2 (Lift &amp; Shift)",0.2,IF(P19="AWS QuickSight",1.5,IF(P19="Power BI",1,0.5))))*8+(10+(D19/100)*0.5)*8)*0.08)*(1-'📊 Dashboard'!C10/100)+((((D19/100)*0.5+F19*0.5+G19*0.2+H19*0.8+I19*1+J19*3+K19*5+(D19/100)*0.3)*8+(D19/100)*0.3*8))*(1-'📊 Dashboard'!C10/100)+((L19*IF(O19="High",2,IF(O19="Medium",1,0.5)))*8)*(1-'📊 Dashboard'!C11/100)+((M19*IF(P19="EC2 (Lift &amp; Shift)",0.2,IF(P19="AWS QuickSight",1.5,IF(P19="Power BI",1,0.5))))*8)*(1-'📊 Dashboard'!C12/100)+((10+(D19/100)*0.5)*8)*(1-'📊 Dashboard'!C10/100)+((((D19/100)*0.5+F19*0.5+G19*0.2+H19*0.8+I19*1+J19*3+K19*5+(D19/100)*0.3)*8+(L19*IF(O19="High",2,IF(O19="Medium",1,0.5)))*8+(M19*IF(P19="EC2 (Lift &amp; Shift)",0.2,IF(P19="AWS QuickSight",1.5,IF(P19="Power BI",1,0.5))))*8+(10+(D19/100)*0.5)*8)*0.28)*(1-'📊 Dashboard'!C13/100)+((((D19/100)*0.5+F19*0.5+G19*0.2+H19*0.8+I19*1+J19*3+K19*5+(D19/100)*0.3)*8+(L19*IF(O19="High",2,IF(O19="Medium",1,0.5)))*8+(M19*IF(P19="EC2 (Lift &amp; Shift)",0.2,IF(P19="AWS QuickSight",1.5,IF(P19="Power BI",1,0.5))))*8+(10+(D19/100)*0.5)*8)*0.12)*(1-'📊 Dashboard'!C10/100)</f>
        <v>911.83264000000008</v>
      </c>
      <c r="T19" s="38">
        <f>S19*(1+'📊 Dashboard'!C14/100)</f>
        <v>1048.607536</v>
      </c>
      <c r="U19" s="45">
        <f t="shared" si="2"/>
        <v>67.500800000000012</v>
      </c>
      <c r="V19" s="45">
        <f t="shared" si="3"/>
        <v>626.32000000000005</v>
      </c>
      <c r="W19" s="45">
        <f t="shared" si="4"/>
        <v>112</v>
      </c>
      <c r="X19" s="45">
        <f t="shared" si="5"/>
        <v>19.200000000000003</v>
      </c>
      <c r="Y19" s="45">
        <f t="shared" si="6"/>
        <v>95.6</v>
      </c>
      <c r="Z19" s="45">
        <f t="shared" si="7"/>
        <v>236.25280000000006</v>
      </c>
      <c r="AA19" s="45">
        <f t="shared" si="8"/>
        <v>101.25120000000001</v>
      </c>
      <c r="AB19" s="40">
        <f>'✏️ SME Input'!R19</f>
        <v>5</v>
      </c>
      <c r="AC19" s="45">
        <f t="shared" si="9"/>
        <v>3.75</v>
      </c>
      <c r="AD19" s="45">
        <f t="shared" si="10"/>
        <v>3.75</v>
      </c>
      <c r="AE19" s="45">
        <f t="shared" si="11"/>
        <v>3.75</v>
      </c>
      <c r="AF19" s="45">
        <f t="shared" si="12"/>
        <v>11.25</v>
      </c>
      <c r="AG19" s="45">
        <f t="shared" si="13"/>
        <v>246.78400000000002</v>
      </c>
      <c r="AH19" s="45">
        <f t="shared" si="14"/>
        <v>246.78400000000002</v>
      </c>
      <c r="AI19" s="45">
        <f t="shared" si="15"/>
        <v>123.39200000000001</v>
      </c>
      <c r="AJ19" s="45">
        <f t="shared" si="16"/>
        <v>56</v>
      </c>
      <c r="AK19" s="45">
        <f t="shared" si="17"/>
        <v>39.199999999999996</v>
      </c>
      <c r="AL19" s="45">
        <f t="shared" si="18"/>
        <v>16.8</v>
      </c>
      <c r="AM19" s="38">
        <f t="shared" si="19"/>
        <v>514.45591999999999</v>
      </c>
      <c r="AN19" s="41">
        <f t="shared" si="20"/>
        <v>497.65592000000004</v>
      </c>
      <c r="AO19" s="42">
        <f t="shared" si="21"/>
        <v>247.90296000000001</v>
      </c>
      <c r="AP19" s="46">
        <f>'✏️ SME Input'!S19</f>
        <v>3</v>
      </c>
      <c r="AQ19" s="46">
        <f>'✏️ SME Input'!T19</f>
        <v>0</v>
      </c>
      <c r="AR19" s="47" t="str">
        <f>'✏️ SME Input'!U19</f>
        <v>Transactional</v>
      </c>
    </row>
    <row r="20" spans="2:44" ht="18" customHeight="1" x14ac:dyDescent="0.3">
      <c r="B20" s="33" t="str">
        <f>'✏️ SME Input'!B20</f>
        <v>Dunning &amp; Collections</v>
      </c>
      <c r="C20" s="34" t="str">
        <f t="shared" si="0"/>
        <v>T1 Simple</v>
      </c>
      <c r="D20" s="35">
        <f>'✏️ SME Input'!D20</f>
        <v>250</v>
      </c>
      <c r="E20" s="35">
        <f>'✏️ SME Input'!E20</f>
        <v>85</v>
      </c>
      <c r="F20" s="35">
        <f>'✏️ SME Input'!F20</f>
        <v>58</v>
      </c>
      <c r="G20" s="35">
        <f>'✏️ SME Input'!G20</f>
        <v>32</v>
      </c>
      <c r="H20" s="35">
        <f>'✏️ SME Input'!H20</f>
        <v>7</v>
      </c>
      <c r="I20" s="35">
        <f>'✏️ SME Input'!I20</f>
        <v>5</v>
      </c>
      <c r="J20" s="35">
        <f>'✏️ SME Input'!J20</f>
        <v>0</v>
      </c>
      <c r="K20" s="35">
        <f>'✏️ SME Input'!K20</f>
        <v>1</v>
      </c>
      <c r="L20" s="35">
        <f>'✏️ SME Input'!L20</f>
        <v>10</v>
      </c>
      <c r="M20" s="35">
        <f>'✏️ SME Input'!M20</f>
        <v>15</v>
      </c>
      <c r="N20" s="21">
        <f>'✏️ SME Input'!N20</f>
        <v>2</v>
      </c>
      <c r="O20" s="36" t="str">
        <f>'✏️ SME Input'!O20</f>
        <v>Medium</v>
      </c>
      <c r="P20" s="36" t="str">
        <f>'✏️ SME Input'!P20</f>
        <v>Power BI</v>
      </c>
      <c r="Q20" s="36" t="str">
        <f>'✏️ SME Input'!C20</f>
        <v>Wave 1</v>
      </c>
      <c r="R20" s="37">
        <f t="shared" si="1"/>
        <v>1062.72</v>
      </c>
      <c r="S20" s="37">
        <f>((((D20/100)*0.5+F20*0.5+G20*0.2+H20*0.8+I20*1+J20*3+K20*5+(D20/100)*0.3)*8+(L20*IF(O20="High",2,IF(O20="Medium",1,0.5)))*8+(M20*IF(P20="EC2 (Lift &amp; Shift)",0.2,IF(P20="AWS QuickSight",1.5,IF(P20="Power BI",1,0.5))))*8+(10+(D20/100)*0.5)*8)*0.08)*(1-'📊 Dashboard'!C10/100)+((((D20/100)*0.5+F20*0.5+G20*0.2+H20*0.8+I20*1+J20*3+K20*5+(D20/100)*0.3)*8+(D20/100)*0.3*8))*(1-'📊 Dashboard'!C10/100)+((L20*IF(O20="High",2,IF(O20="Medium",1,0.5)))*8)*(1-'📊 Dashboard'!C11/100)+((M20*IF(P20="EC2 (Lift &amp; Shift)",0.2,IF(P20="AWS QuickSight",1.5,IF(P20="Power BI",1,0.5))))*8)*(1-'📊 Dashboard'!C12/100)+((10+(D20/100)*0.5)*8)*(1-'📊 Dashboard'!C10/100)+((((D20/100)*0.5+F20*0.5+G20*0.2+H20*0.8+I20*1+J20*3+K20*5+(D20/100)*0.3)*8+(L20*IF(O20="High",2,IF(O20="Medium",1,0.5)))*8+(M20*IF(P20="EC2 (Lift &amp; Shift)",0.2,IF(P20="AWS QuickSight",1.5,IF(P20="Power BI",1,0.5))))*8+(10+(D20/100)*0.5)*8)*0.28)*(1-'📊 Dashboard'!C13/100)+((((D20/100)*0.5+F20*0.5+G20*0.2+H20*0.8+I20*1+J20*3+K20*5+(D20/100)*0.3)*8+(L20*IF(O20="High",2,IF(O20="Medium",1,0.5)))*8+(M20*IF(P20="EC2 (Lift &amp; Shift)",0.2,IF(P20="AWS QuickSight",1.5,IF(P20="Power BI",1,0.5))))*8+(10+(D20/100)*0.5)*8)*0.12)*(1-'📊 Dashboard'!C10/100)</f>
        <v>779.89599999999996</v>
      </c>
      <c r="T20" s="38">
        <f>S20*(1+'📊 Dashboard'!C14/100)</f>
        <v>896.8803999999999</v>
      </c>
      <c r="U20" s="39">
        <f t="shared" si="2"/>
        <v>57.120000000000005</v>
      </c>
      <c r="V20" s="39">
        <f t="shared" si="3"/>
        <v>430</v>
      </c>
      <c r="W20" s="39">
        <f t="shared" si="4"/>
        <v>80</v>
      </c>
      <c r="X20" s="39">
        <f t="shared" si="5"/>
        <v>120</v>
      </c>
      <c r="Y20" s="39">
        <f t="shared" si="6"/>
        <v>90</v>
      </c>
      <c r="Z20" s="39">
        <f t="shared" si="7"/>
        <v>199.92000000000002</v>
      </c>
      <c r="AA20" s="39">
        <f t="shared" si="8"/>
        <v>85.679999999999993</v>
      </c>
      <c r="AB20" s="40">
        <f>'✏️ SME Input'!R20</f>
        <v>2</v>
      </c>
      <c r="AC20" s="39">
        <f t="shared" si="9"/>
        <v>1.5</v>
      </c>
      <c r="AD20" s="39">
        <f t="shared" si="10"/>
        <v>1.5</v>
      </c>
      <c r="AE20" s="39">
        <f t="shared" si="11"/>
        <v>1.5</v>
      </c>
      <c r="AF20" s="39">
        <f t="shared" si="12"/>
        <v>4.5</v>
      </c>
      <c r="AG20" s="39">
        <f t="shared" si="13"/>
        <v>169.60000000000002</v>
      </c>
      <c r="AH20" s="39">
        <f t="shared" si="14"/>
        <v>169.60000000000002</v>
      </c>
      <c r="AI20" s="39">
        <f t="shared" si="15"/>
        <v>84.800000000000011</v>
      </c>
      <c r="AJ20" s="39">
        <f t="shared" si="16"/>
        <v>40</v>
      </c>
      <c r="AK20" s="39">
        <f t="shared" si="17"/>
        <v>28</v>
      </c>
      <c r="AL20" s="39">
        <f t="shared" si="18"/>
        <v>12</v>
      </c>
      <c r="AM20" s="38">
        <f t="shared" si="19"/>
        <v>432.18800000000005</v>
      </c>
      <c r="AN20" s="41">
        <f t="shared" si="20"/>
        <v>420.18800000000005</v>
      </c>
      <c r="AO20" s="42">
        <f t="shared" si="21"/>
        <v>208.84400000000002</v>
      </c>
      <c r="AP20" s="40">
        <f>'✏️ SME Input'!S20</f>
        <v>2</v>
      </c>
      <c r="AQ20" s="40">
        <f>'✏️ SME Input'!T20</f>
        <v>0</v>
      </c>
      <c r="AR20" s="43" t="str">
        <f>'✏️ SME Input'!U20</f>
        <v>None</v>
      </c>
    </row>
    <row r="21" spans="2:44" ht="18" customHeight="1" x14ac:dyDescent="0.3">
      <c r="B21" s="44" t="str">
        <f>'✏️ SME Input'!B21</f>
        <v>Tax &amp; Compliance DB</v>
      </c>
      <c r="C21" s="34" t="str">
        <f t="shared" si="0"/>
        <v>T1 Simple</v>
      </c>
      <c r="D21" s="35">
        <f>'✏️ SME Input'!D21</f>
        <v>310</v>
      </c>
      <c r="E21" s="35">
        <f>'✏️ SME Input'!E21</f>
        <v>90</v>
      </c>
      <c r="F21" s="35">
        <f>'✏️ SME Input'!F21</f>
        <v>68</v>
      </c>
      <c r="G21" s="35">
        <f>'✏️ SME Input'!G21</f>
        <v>36</v>
      </c>
      <c r="H21" s="35">
        <f>'✏️ SME Input'!H21</f>
        <v>8</v>
      </c>
      <c r="I21" s="35">
        <f>'✏️ SME Input'!I21</f>
        <v>7</v>
      </c>
      <c r="J21" s="35">
        <f>'✏️ SME Input'!J21</f>
        <v>1</v>
      </c>
      <c r="K21" s="35">
        <f>'✏️ SME Input'!K21</f>
        <v>0</v>
      </c>
      <c r="L21" s="35">
        <f>'✏️ SME Input'!L21</f>
        <v>12</v>
      </c>
      <c r="M21" s="35">
        <f>'✏️ SME Input'!M21</f>
        <v>25</v>
      </c>
      <c r="N21" s="21">
        <f>'✏️ SME Input'!N21</f>
        <v>3</v>
      </c>
      <c r="O21" s="36" t="str">
        <f>'✏️ SME Input'!O21</f>
        <v>Medium</v>
      </c>
      <c r="P21" s="36" t="str">
        <f>'✏️ SME Input'!P21</f>
        <v>EC2 (Lift &amp; Shift)</v>
      </c>
      <c r="Q21" s="36" t="str">
        <f>'✏️ SME Input'!C21</f>
        <v>Wave 2</v>
      </c>
      <c r="R21" s="37">
        <f t="shared" si="1"/>
        <v>1056.8191999999999</v>
      </c>
      <c r="S21" s="37">
        <f>((((D21/100)*0.5+F21*0.5+G21*0.2+H21*0.8+I21*1+J21*3+K21*5+(D21/100)*0.3)*8+(L21*IF(O21="High",2,IF(O21="Medium",1,0.5)))*8+(M21*IF(P21="EC2 (Lift &amp; Shift)",0.2,IF(P21="AWS QuickSight",1.5,IF(P21="Power BI",1,0.5))))*8+(10+(D21/100)*0.5)*8)*0.08)*(1-'📊 Dashboard'!C10/100)+((((D21/100)*0.5+F21*0.5+G21*0.2+H21*0.8+I21*1+J21*3+K21*5+(D21/100)*0.3)*8+(D21/100)*0.3*8))*(1-'📊 Dashboard'!C10/100)+((L21*IF(O21="High",2,IF(O21="Medium",1,0.5)))*8)*(1-'📊 Dashboard'!C11/100)+((M21*IF(P21="EC2 (Lift &amp; Shift)",0.2,IF(P21="AWS QuickSight",1.5,IF(P21="Power BI",1,0.5))))*8)*(1-'📊 Dashboard'!C12/100)+((10+(D21/100)*0.5)*8)*(1-'📊 Dashboard'!C10/100)+((((D21/100)*0.5+F21*0.5+G21*0.2+H21*0.8+I21*1+J21*3+K21*5+(D21/100)*0.3)*8+(L21*IF(O21="High",2,IF(O21="Medium",1,0.5)))*8+(M21*IF(P21="EC2 (Lift &amp; Shift)",0.2,IF(P21="AWS QuickSight",1.5,IF(P21="Power BI",1,0.5))))*8+(10+(D21/100)*0.5)*8)*0.28)*(1-'📊 Dashboard'!C13/100)+((((D21/100)*0.5+F21*0.5+G21*0.2+H21*0.8+I21*1+J21*3+K21*5+(D21/100)*0.3)*8+(L21*IF(O21="High",2,IF(O21="Medium",1,0.5)))*8+(M21*IF(P21="EC2 (Lift &amp; Shift)",0.2,IF(P21="AWS QuickSight",1.5,IF(P21="Power BI",1,0.5))))*8+(10+(D21/100)*0.5)*8)*0.12)*(1-'📊 Dashboard'!C10/100)</f>
        <v>768.42655999999999</v>
      </c>
      <c r="T21" s="38">
        <f>S21*(1+'📊 Dashboard'!C14/100)</f>
        <v>883.69054399999993</v>
      </c>
      <c r="U21" s="45">
        <f t="shared" si="2"/>
        <v>56.723199999999999</v>
      </c>
      <c r="V21" s="45">
        <f t="shared" si="3"/>
        <v>488.08</v>
      </c>
      <c r="W21" s="45">
        <f t="shared" si="4"/>
        <v>96</v>
      </c>
      <c r="X21" s="45">
        <f t="shared" si="5"/>
        <v>40</v>
      </c>
      <c r="Y21" s="45">
        <f t="shared" si="6"/>
        <v>92.4</v>
      </c>
      <c r="Z21" s="45">
        <f t="shared" si="7"/>
        <v>198.53120000000001</v>
      </c>
      <c r="AA21" s="45">
        <f t="shared" si="8"/>
        <v>85.084799999999987</v>
      </c>
      <c r="AB21" s="40">
        <f>'✏️ SME Input'!R21</f>
        <v>3</v>
      </c>
      <c r="AC21" s="45">
        <f t="shared" si="9"/>
        <v>2.25</v>
      </c>
      <c r="AD21" s="45">
        <f t="shared" si="10"/>
        <v>2.25</v>
      </c>
      <c r="AE21" s="45">
        <f t="shared" si="11"/>
        <v>2.25</v>
      </c>
      <c r="AF21" s="45">
        <f t="shared" si="12"/>
        <v>6.75</v>
      </c>
      <c r="AG21" s="45">
        <f t="shared" si="13"/>
        <v>192.256</v>
      </c>
      <c r="AH21" s="45">
        <f t="shared" si="14"/>
        <v>192.256</v>
      </c>
      <c r="AI21" s="45">
        <f t="shared" si="15"/>
        <v>96.128</v>
      </c>
      <c r="AJ21" s="45">
        <f t="shared" si="16"/>
        <v>48</v>
      </c>
      <c r="AK21" s="45">
        <f t="shared" si="17"/>
        <v>33.599999999999994</v>
      </c>
      <c r="AL21" s="45">
        <f t="shared" si="18"/>
        <v>14.399999999999999</v>
      </c>
      <c r="AM21" s="38">
        <f t="shared" si="19"/>
        <v>431.60167999999993</v>
      </c>
      <c r="AN21" s="41">
        <f t="shared" si="20"/>
        <v>417.20167999999995</v>
      </c>
      <c r="AO21" s="42">
        <f t="shared" si="21"/>
        <v>207.32584</v>
      </c>
      <c r="AP21" s="46">
        <f>'✏️ SME Input'!S21</f>
        <v>2</v>
      </c>
      <c r="AQ21" s="46">
        <f>'✏️ SME Input'!T21</f>
        <v>0</v>
      </c>
      <c r="AR21" s="47" t="str">
        <f>'✏️ SME Input'!U21</f>
        <v>Transactional</v>
      </c>
    </row>
    <row r="22" spans="2:44" ht="18" customHeight="1" x14ac:dyDescent="0.3">
      <c r="B22" s="33" t="str">
        <f>'✏️ SME Input'!B22</f>
        <v>Contract Management</v>
      </c>
      <c r="C22" s="34" t="str">
        <f t="shared" si="0"/>
        <v>T1 Simple</v>
      </c>
      <c r="D22" s="35">
        <f>'✏️ SME Input'!D22</f>
        <v>160</v>
      </c>
      <c r="E22" s="35">
        <f>'✏️ SME Input'!E22</f>
        <v>65</v>
      </c>
      <c r="F22" s="35">
        <f>'✏️ SME Input'!F22</f>
        <v>42</v>
      </c>
      <c r="G22" s="35">
        <f>'✏️ SME Input'!G22</f>
        <v>25</v>
      </c>
      <c r="H22" s="35">
        <f>'✏️ SME Input'!H22</f>
        <v>4</v>
      </c>
      <c r="I22" s="35">
        <f>'✏️ SME Input'!I22</f>
        <v>3</v>
      </c>
      <c r="J22" s="35">
        <f>'✏️ SME Input'!J22</f>
        <v>0</v>
      </c>
      <c r="K22" s="35">
        <f>'✏️ SME Input'!K22</f>
        <v>0</v>
      </c>
      <c r="L22" s="35">
        <f>'✏️ SME Input'!L22</f>
        <v>6</v>
      </c>
      <c r="M22" s="35">
        <f>'✏️ SME Input'!M22</f>
        <v>8</v>
      </c>
      <c r="N22" s="21">
        <f>'✏️ SME Input'!N22</f>
        <v>0</v>
      </c>
      <c r="O22" s="36" t="str">
        <f>'✏️ SME Input'!O22</f>
        <v>Low</v>
      </c>
      <c r="P22" s="36" t="str">
        <f>'✏️ SME Input'!P22</f>
        <v>AWS QuickSight</v>
      </c>
      <c r="Q22" s="36" t="str">
        <f>'✏️ SME Input'!C22</f>
        <v>Wave 1</v>
      </c>
      <c r="R22" s="37">
        <f t="shared" si="1"/>
        <v>705.71519999999998</v>
      </c>
      <c r="S22" s="37">
        <f>((((D22/100)*0.5+F22*0.5+G22*0.2+H22*0.8+I22*1+J22*3+K22*5+(D22/100)*0.3)*8+(L22*IF(O22="High",2,IF(O22="Medium",1,0.5)))*8+(M22*IF(P22="EC2 (Lift &amp; Shift)",0.2,IF(P22="AWS QuickSight",1.5,IF(P22="Power BI",1,0.5))))*8+(10+(D22/100)*0.5)*8)*0.08)*(1-'📊 Dashboard'!C10/100)+((((D22/100)*0.5+F22*0.5+G22*0.2+H22*0.8+I22*1+J22*3+K22*5+(D22/100)*0.3)*8+(D22/100)*0.3*8))*(1-'📊 Dashboard'!C10/100)+((L22*IF(O22="High",2,IF(O22="Medium",1,0.5)))*8)*(1-'📊 Dashboard'!C11/100)+((M22*IF(P22="EC2 (Lift &amp; Shift)",0.2,IF(P22="AWS QuickSight",1.5,IF(P22="Power BI",1,0.5))))*8)*(1-'📊 Dashboard'!C12/100)+((10+(D22/100)*0.5)*8)*(1-'📊 Dashboard'!C10/100)+((((D22/100)*0.5+F22*0.5+G22*0.2+H22*0.8+I22*1+J22*3+K22*5+(D22/100)*0.3)*8+(L22*IF(O22="High",2,IF(O22="Medium",1,0.5)))*8+(M22*IF(P22="EC2 (Lift &amp; Shift)",0.2,IF(P22="AWS QuickSight",1.5,IF(P22="Power BI",1,0.5))))*8+(10+(D22/100)*0.5)*8)*0.28)*(1-'📊 Dashboard'!C13/100)+((((D22/100)*0.5+F22*0.5+G22*0.2+H22*0.8+I22*1+J22*3+K22*5+(D22/100)*0.3)*8+(L22*IF(O22="High",2,IF(O22="Medium",1,0.5)))*8+(M22*IF(P22="EC2 (Lift &amp; Shift)",0.2,IF(P22="AWS QuickSight",1.5,IF(P22="Power BI",1,0.5))))*8+(10+(D22/100)*0.5)*8)*0.12)*(1-'📊 Dashboard'!C10/100)</f>
        <v>518.07935999999995</v>
      </c>
      <c r="T22" s="38">
        <f>S22*(1+'📊 Dashboard'!C14/100)</f>
        <v>595.79126399999984</v>
      </c>
      <c r="U22" s="39">
        <f t="shared" si="2"/>
        <v>37.9392</v>
      </c>
      <c r="V22" s="39">
        <f t="shared" si="3"/>
        <v>271.67999999999995</v>
      </c>
      <c r="W22" s="39">
        <f t="shared" si="4"/>
        <v>24</v>
      </c>
      <c r="X22" s="39">
        <f t="shared" si="5"/>
        <v>96</v>
      </c>
      <c r="Y22" s="39">
        <f t="shared" si="6"/>
        <v>86.4</v>
      </c>
      <c r="Z22" s="39">
        <f t="shared" si="7"/>
        <v>132.78720000000001</v>
      </c>
      <c r="AA22" s="39">
        <f t="shared" si="8"/>
        <v>56.908799999999999</v>
      </c>
      <c r="AB22" s="40">
        <f>'✏️ SME Input'!R22</f>
        <v>0</v>
      </c>
      <c r="AC22" s="39">
        <f t="shared" si="9"/>
        <v>0</v>
      </c>
      <c r="AD22" s="39">
        <f t="shared" si="10"/>
        <v>0</v>
      </c>
      <c r="AE22" s="39">
        <f t="shared" si="11"/>
        <v>0</v>
      </c>
      <c r="AF22" s="39">
        <f t="shared" si="12"/>
        <v>0</v>
      </c>
      <c r="AG22" s="39">
        <f t="shared" si="13"/>
        <v>107.136</v>
      </c>
      <c r="AH22" s="39">
        <f t="shared" si="14"/>
        <v>107.136</v>
      </c>
      <c r="AI22" s="39">
        <f t="shared" si="15"/>
        <v>53.567999999999998</v>
      </c>
      <c r="AJ22" s="39">
        <f t="shared" si="16"/>
        <v>12</v>
      </c>
      <c r="AK22" s="39">
        <f t="shared" si="17"/>
        <v>8.3999999999999986</v>
      </c>
      <c r="AL22" s="39">
        <f t="shared" si="18"/>
        <v>3.5999999999999996</v>
      </c>
      <c r="AM22" s="38">
        <f t="shared" si="19"/>
        <v>283.15008</v>
      </c>
      <c r="AN22" s="41">
        <f t="shared" si="20"/>
        <v>279.55008000000004</v>
      </c>
      <c r="AO22" s="42">
        <f t="shared" si="21"/>
        <v>139.17504</v>
      </c>
      <c r="AP22" s="40">
        <f>'✏️ SME Input'!S22</f>
        <v>0</v>
      </c>
      <c r="AQ22" s="40">
        <f>'✏️ SME Input'!T22</f>
        <v>0</v>
      </c>
      <c r="AR22" s="43" t="str">
        <f>'✏️ SME Input'!U22</f>
        <v>None</v>
      </c>
    </row>
    <row r="23" spans="2:44" ht="18" customHeight="1" x14ac:dyDescent="0.3">
      <c r="B23" s="44" t="str">
        <f>'✏️ SME Input'!B23</f>
        <v>Usage Rating Engine</v>
      </c>
      <c r="C23" s="34" t="str">
        <f t="shared" si="0"/>
        <v>T2 Moderate</v>
      </c>
      <c r="D23" s="35">
        <f>'✏️ SME Input'!D23</f>
        <v>920</v>
      </c>
      <c r="E23" s="35">
        <f>'✏️ SME Input'!E23</f>
        <v>210</v>
      </c>
      <c r="F23" s="35">
        <f>'✏️ SME Input'!F23</f>
        <v>155</v>
      </c>
      <c r="G23" s="35">
        <f>'✏️ SME Input'!G23</f>
        <v>70</v>
      </c>
      <c r="H23" s="35">
        <f>'✏️ SME Input'!H23</f>
        <v>20</v>
      </c>
      <c r="I23" s="35">
        <f>'✏️ SME Input'!I23</f>
        <v>16</v>
      </c>
      <c r="J23" s="35">
        <f>'✏️ SME Input'!J23</f>
        <v>4</v>
      </c>
      <c r="K23" s="35">
        <f>'✏️ SME Input'!K23</f>
        <v>7</v>
      </c>
      <c r="L23" s="35">
        <f>'✏️ SME Input'!L23</f>
        <v>35</v>
      </c>
      <c r="M23" s="35">
        <f>'✏️ SME Input'!M23</f>
        <v>28</v>
      </c>
      <c r="N23" s="21">
        <f>'✏️ SME Input'!N23</f>
        <v>15</v>
      </c>
      <c r="O23" s="36" t="str">
        <f>'✏️ SME Input'!O23</f>
        <v>High</v>
      </c>
      <c r="P23" s="36" t="str">
        <f>'✏️ SME Input'!P23</f>
        <v>EC2 (Lift &amp; Shift)</v>
      </c>
      <c r="Q23" s="36" t="str">
        <f>'✏️ SME Input'!C23</f>
        <v>Wave 3</v>
      </c>
      <c r="R23" s="37">
        <f t="shared" si="1"/>
        <v>3195.9104000000002</v>
      </c>
      <c r="S23" s="37">
        <f>((((D23/100)*0.5+F23*0.5+G23*0.2+H23*0.8+I23*1+J23*3+K23*5+(D23/100)*0.3)*8+(L23*IF(O23="High",2,IF(O23="Medium",1,0.5)))*8+(M23*IF(P23="EC2 (Lift &amp; Shift)",0.2,IF(P23="AWS QuickSight",1.5,IF(P23="Power BI",1,0.5))))*8+(10+(D23/100)*0.5)*8)*0.08)*(1-'📊 Dashboard'!C10/100)+((((D23/100)*0.5+F23*0.5+G23*0.2+H23*0.8+I23*1+J23*3+K23*5+(D23/100)*0.3)*8+(D23/100)*0.3*8))*(1-'📊 Dashboard'!C10/100)+((L23*IF(O23="High",2,IF(O23="Medium",1,0.5)))*8)*(1-'📊 Dashboard'!C11/100)+((M23*IF(P23="EC2 (Lift &amp; Shift)",0.2,IF(P23="AWS QuickSight",1.5,IF(P23="Power BI",1,0.5))))*8)*(1-'📊 Dashboard'!C12/100)+((10+(D23/100)*0.5)*8)*(1-'📊 Dashboard'!C10/100)+((((D23/100)*0.5+F23*0.5+G23*0.2+H23*0.8+I23*1+J23*3+K23*5+(D23/100)*0.3)*8+(L23*IF(O23="High",2,IF(O23="Medium",1,0.5)))*8+(M23*IF(P23="EC2 (Lift &amp; Shift)",0.2,IF(P23="AWS QuickSight",1.5,IF(P23="Power BI",1,0.5))))*8+(10+(D23/100)*0.5)*8)*0.28)*(1-'📊 Dashboard'!C13/100)+((((D23/100)*0.5+F23*0.5+G23*0.2+H23*0.8+I23*1+J23*3+K23*5+(D23/100)*0.3)*8+(L23*IF(O23="High",2,IF(O23="Medium",1,0.5)))*8+(M23*IF(P23="EC2 (Lift &amp; Shift)",0.2,IF(P23="AWS QuickSight",1.5,IF(P23="Power BI",1,0.5))))*8+(10+(D23/100)*0.5)*8)*0.12)*(1-'📊 Dashboard'!C10/100)</f>
        <v>2329.6627199999998</v>
      </c>
      <c r="T23" s="38">
        <f>S23*(1+'📊 Dashboard'!C14/100)</f>
        <v>2679.1121279999998</v>
      </c>
      <c r="U23" s="45">
        <f t="shared" si="2"/>
        <v>171.55840000000001</v>
      </c>
      <c r="V23" s="45">
        <f t="shared" si="3"/>
        <v>1444.9599999999998</v>
      </c>
      <c r="W23" s="45">
        <f t="shared" si="4"/>
        <v>560</v>
      </c>
      <c r="X23" s="45">
        <f t="shared" si="5"/>
        <v>44.800000000000004</v>
      </c>
      <c r="Y23" s="45">
        <f t="shared" si="6"/>
        <v>116.8</v>
      </c>
      <c r="Z23" s="45">
        <f t="shared" si="7"/>
        <v>600.45440000000008</v>
      </c>
      <c r="AA23" s="45">
        <f t="shared" si="8"/>
        <v>257.33760000000001</v>
      </c>
      <c r="AB23" s="40">
        <f>'✏️ SME Input'!R23</f>
        <v>15</v>
      </c>
      <c r="AC23" s="45">
        <f t="shared" si="9"/>
        <v>11.25</v>
      </c>
      <c r="AD23" s="45">
        <f t="shared" si="10"/>
        <v>11.25</v>
      </c>
      <c r="AE23" s="45">
        <f t="shared" si="11"/>
        <v>11.25</v>
      </c>
      <c r="AF23" s="45">
        <f t="shared" si="12"/>
        <v>33.75</v>
      </c>
      <c r="AG23" s="45">
        <f t="shared" si="13"/>
        <v>569.15199999999993</v>
      </c>
      <c r="AH23" s="45">
        <f t="shared" si="14"/>
        <v>569.15199999999993</v>
      </c>
      <c r="AI23" s="45">
        <f t="shared" si="15"/>
        <v>284.57599999999996</v>
      </c>
      <c r="AJ23" s="45">
        <f t="shared" si="16"/>
        <v>280</v>
      </c>
      <c r="AK23" s="45">
        <f t="shared" si="17"/>
        <v>196</v>
      </c>
      <c r="AL23" s="45">
        <f t="shared" si="18"/>
        <v>84</v>
      </c>
      <c r="AM23" s="38">
        <f t="shared" si="19"/>
        <v>1336.78216</v>
      </c>
      <c r="AN23" s="41">
        <f t="shared" si="20"/>
        <v>1252.78216</v>
      </c>
      <c r="AO23" s="42">
        <f t="shared" si="21"/>
        <v>618.01607999999999</v>
      </c>
      <c r="AP23" s="46">
        <f>'✏️ SME Input'!S23</f>
        <v>12</v>
      </c>
      <c r="AQ23" s="46">
        <f>'✏️ SME Input'!T23</f>
        <v>2</v>
      </c>
      <c r="AR23" s="47" t="str">
        <f>'✏️ SME Input'!U23</f>
        <v>Transactional</v>
      </c>
    </row>
    <row r="24" spans="2:44" ht="18" customHeight="1" x14ac:dyDescent="0.3">
      <c r="B24" s="33" t="str">
        <f>'✏️ SME Input'!B24</f>
        <v>Wholesale Billing</v>
      </c>
      <c r="C24" s="34" t="str">
        <f t="shared" si="0"/>
        <v>T1 Simple</v>
      </c>
      <c r="D24" s="35">
        <f>'✏️ SME Input'!D24</f>
        <v>480</v>
      </c>
      <c r="E24" s="35">
        <f>'✏️ SME Input'!E24</f>
        <v>125</v>
      </c>
      <c r="F24" s="35">
        <f>'✏️ SME Input'!F24</f>
        <v>90</v>
      </c>
      <c r="G24" s="35">
        <f>'✏️ SME Input'!G24</f>
        <v>50</v>
      </c>
      <c r="H24" s="35">
        <f>'✏️ SME Input'!H24</f>
        <v>11</v>
      </c>
      <c r="I24" s="35">
        <f>'✏️ SME Input'!I24</f>
        <v>8</v>
      </c>
      <c r="J24" s="35">
        <f>'✏️ SME Input'!J24</f>
        <v>2</v>
      </c>
      <c r="K24" s="35">
        <f>'✏️ SME Input'!K24</f>
        <v>3</v>
      </c>
      <c r="L24" s="35">
        <f>'✏️ SME Input'!L24</f>
        <v>18</v>
      </c>
      <c r="M24" s="35">
        <f>'✏️ SME Input'!M24</f>
        <v>20</v>
      </c>
      <c r="N24" s="21">
        <f>'✏️ SME Input'!N24</f>
        <v>6</v>
      </c>
      <c r="O24" s="36" t="str">
        <f>'✏️ SME Input'!O24</f>
        <v>High</v>
      </c>
      <c r="P24" s="36" t="str">
        <f>'✏️ SME Input'!P24</f>
        <v>EC2 (Lift &amp; Shift)</v>
      </c>
      <c r="Q24" s="36" t="str">
        <f>'✏️ SME Input'!C24</f>
        <v>Wave 3</v>
      </c>
      <c r="R24" s="37">
        <f t="shared" si="1"/>
        <v>1776.1536000000001</v>
      </c>
      <c r="S24" s="37">
        <f>((((D24/100)*0.5+F24*0.5+G24*0.2+H24*0.8+I24*1+J24*3+K24*5+(D24/100)*0.3)*8+(L24*IF(O24="High",2,IF(O24="Medium",1,0.5)))*8+(M24*IF(P24="EC2 (Lift &amp; Shift)",0.2,IF(P24="AWS QuickSight",1.5,IF(P24="Power BI",1,0.5))))*8+(10+(D24/100)*0.5)*8)*0.08)*(1-'📊 Dashboard'!C10/100)+((((D24/100)*0.5+F24*0.5+G24*0.2+H24*0.8+I24*1+J24*3+K24*5+(D24/100)*0.3)*8+(D24/100)*0.3*8))*(1-'📊 Dashboard'!C10/100)+((L24*IF(O24="High",2,IF(O24="Medium",1,0.5)))*8)*(1-'📊 Dashboard'!C11/100)+((M24*IF(P24="EC2 (Lift &amp; Shift)",0.2,IF(P24="AWS QuickSight",1.5,IF(P24="Power BI",1,0.5))))*8)*(1-'📊 Dashboard'!C12/100)+((10+(D24/100)*0.5)*8)*(1-'📊 Dashboard'!C10/100)+((((D24/100)*0.5+F24*0.5+G24*0.2+H24*0.8+I24*1+J24*3+K24*5+(D24/100)*0.3)*8+(L24*IF(O24="High",2,IF(O24="Medium",1,0.5)))*8+(M24*IF(P24="EC2 (Lift &amp; Shift)",0.2,IF(P24="AWS QuickSight",1.5,IF(P24="Power BI",1,0.5))))*8+(10+(D24/100)*0.5)*8)*0.28)*(1-'📊 Dashboard'!C13/100)+((((D24/100)*0.5+F24*0.5+G24*0.2+H24*0.8+I24*1+J24*3+K24*5+(D24/100)*0.3)*8+(L24*IF(O24="High",2,IF(O24="Medium",1,0.5)))*8+(M24*IF(P24="EC2 (Lift &amp; Shift)",0.2,IF(P24="AWS QuickSight",1.5,IF(P24="Power BI",1,0.5))))*8+(10+(D24/100)*0.5)*8)*0.12)*(1-'📊 Dashboard'!C10/100)</f>
        <v>1294.2924800000001</v>
      </c>
      <c r="T24" s="38">
        <f>S24*(1+'📊 Dashboard'!C14/100)</f>
        <v>1488.4363519999999</v>
      </c>
      <c r="U24" s="39">
        <f t="shared" si="2"/>
        <v>95.385599999999997</v>
      </c>
      <c r="V24" s="39">
        <f t="shared" si="3"/>
        <v>784.64</v>
      </c>
      <c r="W24" s="39">
        <f t="shared" si="4"/>
        <v>288</v>
      </c>
      <c r="X24" s="39">
        <f t="shared" si="5"/>
        <v>32</v>
      </c>
      <c r="Y24" s="39">
        <f t="shared" si="6"/>
        <v>99.2</v>
      </c>
      <c r="Z24" s="39">
        <f t="shared" si="7"/>
        <v>333.84960000000001</v>
      </c>
      <c r="AA24" s="39">
        <f t="shared" si="8"/>
        <v>143.07839999999999</v>
      </c>
      <c r="AB24" s="40">
        <f>'✏️ SME Input'!R24</f>
        <v>6</v>
      </c>
      <c r="AC24" s="39">
        <f t="shared" si="9"/>
        <v>4.5</v>
      </c>
      <c r="AD24" s="39">
        <f t="shared" si="10"/>
        <v>4.5</v>
      </c>
      <c r="AE24" s="39">
        <f t="shared" si="11"/>
        <v>4.5</v>
      </c>
      <c r="AF24" s="39">
        <f t="shared" si="12"/>
        <v>13.5</v>
      </c>
      <c r="AG24" s="39">
        <f t="shared" si="13"/>
        <v>309.24800000000005</v>
      </c>
      <c r="AH24" s="39">
        <f t="shared" si="14"/>
        <v>309.24800000000005</v>
      </c>
      <c r="AI24" s="39">
        <f t="shared" si="15"/>
        <v>154.62400000000002</v>
      </c>
      <c r="AJ24" s="39">
        <f t="shared" si="16"/>
        <v>144</v>
      </c>
      <c r="AK24" s="39">
        <f t="shared" si="17"/>
        <v>100.8</v>
      </c>
      <c r="AL24" s="39">
        <f t="shared" si="18"/>
        <v>43.199999999999996</v>
      </c>
      <c r="AM24" s="38">
        <f t="shared" si="19"/>
        <v>739.15344000000005</v>
      </c>
      <c r="AN24" s="41">
        <f t="shared" si="20"/>
        <v>695.95344</v>
      </c>
      <c r="AO24" s="42">
        <f t="shared" si="21"/>
        <v>343.02672000000001</v>
      </c>
      <c r="AP24" s="40">
        <f>'✏️ SME Input'!S24</f>
        <v>6</v>
      </c>
      <c r="AQ24" s="40">
        <f>'✏️ SME Input'!T24</f>
        <v>0</v>
      </c>
      <c r="AR24" s="43" t="str">
        <f>'✏️ SME Input'!U24</f>
        <v>Transactional</v>
      </c>
    </row>
    <row r="25" spans="2:44" ht="18" customHeight="1" x14ac:dyDescent="0.3">
      <c r="B25" s="44" t="str">
        <f>'✏️ SME Input'!B25</f>
        <v>Partner Portal DB</v>
      </c>
      <c r="C25" s="34" t="str">
        <f t="shared" si="0"/>
        <v>T1 Simple</v>
      </c>
      <c r="D25" s="35">
        <f>'✏️ SME Input'!D25</f>
        <v>140</v>
      </c>
      <c r="E25" s="35">
        <f>'✏️ SME Input'!E25</f>
        <v>55</v>
      </c>
      <c r="F25" s="35">
        <f>'✏️ SME Input'!F25</f>
        <v>35</v>
      </c>
      <c r="G25" s="35">
        <f>'✏️ SME Input'!G25</f>
        <v>22</v>
      </c>
      <c r="H25" s="35">
        <f>'✏️ SME Input'!H25</f>
        <v>3</v>
      </c>
      <c r="I25" s="35">
        <f>'✏️ SME Input'!I25</f>
        <v>2</v>
      </c>
      <c r="J25" s="35">
        <f>'✏️ SME Input'!J25</f>
        <v>0</v>
      </c>
      <c r="K25" s="35">
        <f>'✏️ SME Input'!K25</f>
        <v>0</v>
      </c>
      <c r="L25" s="35">
        <f>'✏️ SME Input'!L25</f>
        <v>5</v>
      </c>
      <c r="M25" s="35">
        <f>'✏️ SME Input'!M25</f>
        <v>6</v>
      </c>
      <c r="N25" s="21">
        <f>'✏️ SME Input'!N25</f>
        <v>0</v>
      </c>
      <c r="O25" s="36" t="str">
        <f>'✏️ SME Input'!O25</f>
        <v>Low</v>
      </c>
      <c r="P25" s="36" t="str">
        <f>'✏️ SME Input'!P25</f>
        <v>AWS QuickSight</v>
      </c>
      <c r="Q25" s="36" t="str">
        <f>'✏️ SME Input'!C25</f>
        <v>Wave 1</v>
      </c>
      <c r="R25" s="37">
        <f t="shared" si="1"/>
        <v>590.86080000000015</v>
      </c>
      <c r="S25" s="37">
        <f>((((D25/100)*0.5+F25*0.5+G25*0.2+H25*0.8+I25*1+J25*3+K25*5+(D25/100)*0.3)*8+(L25*IF(O25="High",2,IF(O25="Medium",1,0.5)))*8+(M25*IF(P25="EC2 (Lift &amp; Shift)",0.2,IF(P25="AWS QuickSight",1.5,IF(P25="Power BI",1,0.5))))*8+(10+(D25/100)*0.5)*8)*0.08)*(1-'📊 Dashboard'!C10/100)+((((D25/100)*0.5+F25*0.5+G25*0.2+H25*0.8+I25*1+J25*3+K25*5+(D25/100)*0.3)*8+(D25/100)*0.3*8))*(1-'📊 Dashboard'!C10/100)+((L25*IF(O25="High",2,IF(O25="Medium",1,0.5)))*8)*(1-'📊 Dashboard'!C11/100)+((M25*IF(P25="EC2 (Lift &amp; Shift)",0.2,IF(P25="AWS QuickSight",1.5,IF(P25="Power BI",1,0.5))))*8)*(1-'📊 Dashboard'!C12/100)+((10+(D25/100)*0.5)*8)*(1-'📊 Dashboard'!C10/100)+((((D25/100)*0.5+F25*0.5+G25*0.2+H25*0.8+I25*1+J25*3+K25*5+(D25/100)*0.3)*8+(L25*IF(O25="High",2,IF(O25="Medium",1,0.5)))*8+(M25*IF(P25="EC2 (Lift &amp; Shift)",0.2,IF(P25="AWS QuickSight",1.5,IF(P25="Power BI",1,0.5))))*8+(10+(D25/100)*0.5)*8)*0.28)*(1-'📊 Dashboard'!C13/100)+((((D25/100)*0.5+F25*0.5+G25*0.2+H25*0.8+I25*1+J25*3+K25*5+(D25/100)*0.3)*8+(L25*IF(O25="High",2,IF(O25="Medium",1,0.5)))*8+(M25*IF(P25="EC2 (Lift &amp; Shift)",0.2,IF(P25="AWS QuickSight",1.5,IF(P25="Power BI",1,0.5))))*8+(10+(D25/100)*0.5)*8)*0.12)*(1-'📊 Dashboard'!C10/100)</f>
        <v>432.91744000000006</v>
      </c>
      <c r="T25" s="38">
        <f>S25*(1+'📊 Dashboard'!C14/100)</f>
        <v>497.85505600000005</v>
      </c>
      <c r="U25" s="45">
        <f t="shared" si="2"/>
        <v>31.756800000000002</v>
      </c>
      <c r="V25" s="45">
        <f t="shared" si="3"/>
        <v>222.72000000000003</v>
      </c>
      <c r="W25" s="45">
        <f t="shared" si="4"/>
        <v>20</v>
      </c>
      <c r="X25" s="45">
        <f t="shared" si="5"/>
        <v>72</v>
      </c>
      <c r="Y25" s="45">
        <f t="shared" si="6"/>
        <v>85.6</v>
      </c>
      <c r="Z25" s="45">
        <f t="shared" si="7"/>
        <v>111.14880000000002</v>
      </c>
      <c r="AA25" s="45">
        <f t="shared" si="8"/>
        <v>47.635200000000005</v>
      </c>
      <c r="AB25" s="40">
        <f>'✏️ SME Input'!R25</f>
        <v>0</v>
      </c>
      <c r="AC25" s="45">
        <f t="shared" si="9"/>
        <v>0</v>
      </c>
      <c r="AD25" s="45">
        <f t="shared" si="10"/>
        <v>0</v>
      </c>
      <c r="AE25" s="45">
        <f t="shared" si="11"/>
        <v>0</v>
      </c>
      <c r="AF25" s="45">
        <f t="shared" si="12"/>
        <v>0</v>
      </c>
      <c r="AG25" s="45">
        <f t="shared" si="13"/>
        <v>87.744000000000014</v>
      </c>
      <c r="AH25" s="45">
        <f t="shared" si="14"/>
        <v>87.744000000000014</v>
      </c>
      <c r="AI25" s="45">
        <f t="shared" si="15"/>
        <v>43.872000000000007</v>
      </c>
      <c r="AJ25" s="45">
        <f t="shared" si="16"/>
        <v>10</v>
      </c>
      <c r="AK25" s="45">
        <f t="shared" si="17"/>
        <v>7</v>
      </c>
      <c r="AL25" s="45">
        <f t="shared" si="18"/>
        <v>3</v>
      </c>
      <c r="AM25" s="38">
        <f t="shared" si="19"/>
        <v>237.00032000000004</v>
      </c>
      <c r="AN25" s="41">
        <f t="shared" si="20"/>
        <v>234.00032000000004</v>
      </c>
      <c r="AO25" s="42">
        <f t="shared" si="21"/>
        <v>116.50016000000002</v>
      </c>
      <c r="AP25" s="46">
        <f>'✏️ SME Input'!S25</f>
        <v>0</v>
      </c>
      <c r="AQ25" s="46">
        <f>'✏️ SME Input'!T25</f>
        <v>0</v>
      </c>
      <c r="AR25" s="47" t="str">
        <f>'✏️ SME Input'!U25</f>
        <v>None</v>
      </c>
    </row>
    <row r="26" spans="2:44" ht="18" customHeight="1" x14ac:dyDescent="0.3">
      <c r="B26" s="33" t="str">
        <f>'✏️ SME Input'!B26</f>
        <v>Workforce Management</v>
      </c>
      <c r="C26" s="34" t="str">
        <f t="shared" si="0"/>
        <v>T1 Simple</v>
      </c>
      <c r="D26" s="35">
        <f>'✏️ SME Input'!D26</f>
        <v>200</v>
      </c>
      <c r="E26" s="35">
        <f>'✏️ SME Input'!E26</f>
        <v>72</v>
      </c>
      <c r="F26" s="35">
        <f>'✏️ SME Input'!F26</f>
        <v>48</v>
      </c>
      <c r="G26" s="35">
        <f>'✏️ SME Input'!G26</f>
        <v>28</v>
      </c>
      <c r="H26" s="35">
        <f>'✏️ SME Input'!H26</f>
        <v>5</v>
      </c>
      <c r="I26" s="35">
        <f>'✏️ SME Input'!I26</f>
        <v>4</v>
      </c>
      <c r="J26" s="35">
        <f>'✏️ SME Input'!J26</f>
        <v>0</v>
      </c>
      <c r="K26" s="35">
        <f>'✏️ SME Input'!K26</f>
        <v>0</v>
      </c>
      <c r="L26" s="35">
        <f>'✏️ SME Input'!L26</f>
        <v>8</v>
      </c>
      <c r="M26" s="35">
        <f>'✏️ SME Input'!M26</f>
        <v>10</v>
      </c>
      <c r="N26" s="21">
        <f>'✏️ SME Input'!N26</f>
        <v>1</v>
      </c>
      <c r="O26" s="36" t="str">
        <f>'✏️ SME Input'!O26</f>
        <v>Medium</v>
      </c>
      <c r="P26" s="36" t="str">
        <f>'✏️ SME Input'!P26</f>
        <v>AWS QuickSight</v>
      </c>
      <c r="Q26" s="36" t="str">
        <f>'✏️ SME Input'!C26</f>
        <v>Wave 2</v>
      </c>
      <c r="R26" s="37">
        <f t="shared" si="1"/>
        <v>871.48800000000017</v>
      </c>
      <c r="S26" s="37">
        <f>((((D26/100)*0.5+F26*0.5+G26*0.2+H26*0.8+I26*1+J26*3+K26*5+(D26/100)*0.3)*8+(L26*IF(O26="High",2,IF(O26="Medium",1,0.5)))*8+(M26*IF(P26="EC2 (Lift &amp; Shift)",0.2,IF(P26="AWS QuickSight",1.5,IF(P26="Power BI",1,0.5))))*8+(10+(D26/100)*0.5)*8)*0.08)*(1-'📊 Dashboard'!C10/100)+((((D26/100)*0.5+F26*0.5+G26*0.2+H26*0.8+I26*1+J26*3+K26*5+(D26/100)*0.3)*8+(D26/100)*0.3*8))*(1-'📊 Dashboard'!C10/100)+((L26*IF(O26="High",2,IF(O26="Medium",1,0.5)))*8)*(1-'📊 Dashboard'!C11/100)+((M26*IF(P26="EC2 (Lift &amp; Shift)",0.2,IF(P26="AWS QuickSight",1.5,IF(P26="Power BI",1,0.5))))*8)*(1-'📊 Dashboard'!C12/100)+((10+(D26/100)*0.5)*8)*(1-'📊 Dashboard'!C10/100)+((((D26/100)*0.5+F26*0.5+G26*0.2+H26*0.8+I26*1+J26*3+K26*5+(D26/100)*0.3)*8+(L26*IF(O26="High",2,IF(O26="Medium",1,0.5)))*8+(M26*IF(P26="EC2 (Lift &amp; Shift)",0.2,IF(P26="AWS QuickSight",1.5,IF(P26="Power BI",1,0.5))))*8+(10+(D26/100)*0.5)*8)*0.28)*(1-'📊 Dashboard'!C13/100)+((((D26/100)*0.5+F26*0.5+G26*0.2+H26*0.8+I26*1+J26*3+K26*5+(D26/100)*0.3)*8+(L26*IF(O26="High",2,IF(O26="Medium",1,0.5)))*8+(M26*IF(P26="EC2 (Lift &amp; Shift)",0.2,IF(P26="AWS QuickSight",1.5,IF(P26="Power BI",1,0.5))))*8+(10+(D26/100)*0.5)*8)*0.12)*(1-'📊 Dashboard'!C10/100)</f>
        <v>641.63839999999993</v>
      </c>
      <c r="T26" s="38">
        <f>S26*(1+'📊 Dashboard'!C14/100)</f>
        <v>737.88415999999984</v>
      </c>
      <c r="U26" s="39">
        <f t="shared" si="2"/>
        <v>46.848000000000006</v>
      </c>
      <c r="V26" s="39">
        <f t="shared" si="3"/>
        <v>318.40000000000003</v>
      </c>
      <c r="W26" s="39">
        <f t="shared" si="4"/>
        <v>64</v>
      </c>
      <c r="X26" s="39">
        <f t="shared" si="5"/>
        <v>120</v>
      </c>
      <c r="Y26" s="39">
        <f t="shared" si="6"/>
        <v>88</v>
      </c>
      <c r="Z26" s="39">
        <f t="shared" si="7"/>
        <v>163.96800000000002</v>
      </c>
      <c r="AA26" s="39">
        <f t="shared" si="8"/>
        <v>70.272000000000006</v>
      </c>
      <c r="AB26" s="40">
        <f>'✏️ SME Input'!R26</f>
        <v>1</v>
      </c>
      <c r="AC26" s="39">
        <f t="shared" si="9"/>
        <v>0.75</v>
      </c>
      <c r="AD26" s="39">
        <f t="shared" si="10"/>
        <v>0.75</v>
      </c>
      <c r="AE26" s="39">
        <f t="shared" si="11"/>
        <v>0.75</v>
      </c>
      <c r="AF26" s="39">
        <f t="shared" si="12"/>
        <v>2.25</v>
      </c>
      <c r="AG26" s="39">
        <f t="shared" si="13"/>
        <v>125.44000000000001</v>
      </c>
      <c r="AH26" s="39">
        <f t="shared" si="14"/>
        <v>125.44000000000001</v>
      </c>
      <c r="AI26" s="39">
        <f t="shared" si="15"/>
        <v>62.720000000000006</v>
      </c>
      <c r="AJ26" s="39">
        <f t="shared" si="16"/>
        <v>32</v>
      </c>
      <c r="AK26" s="39">
        <f t="shared" si="17"/>
        <v>22.4</v>
      </c>
      <c r="AL26" s="39">
        <f t="shared" si="18"/>
        <v>9.6</v>
      </c>
      <c r="AM26" s="38">
        <f t="shared" si="19"/>
        <v>353.8252</v>
      </c>
      <c r="AN26" s="41">
        <f t="shared" si="20"/>
        <v>344.22519999999997</v>
      </c>
      <c r="AO26" s="42">
        <f t="shared" si="21"/>
        <v>170.88760000000002</v>
      </c>
      <c r="AP26" s="40">
        <f>'✏️ SME Input'!S26</f>
        <v>1</v>
      </c>
      <c r="AQ26" s="40">
        <f>'✏️ SME Input'!T26</f>
        <v>0</v>
      </c>
      <c r="AR26" s="43" t="str">
        <f>'✏️ SME Input'!U26</f>
        <v>None</v>
      </c>
    </row>
    <row r="27" spans="2:44" ht="18" customHeight="1" x14ac:dyDescent="0.3">
      <c r="B27" s="44" t="str">
        <f>'✏️ SME Input'!B27</f>
        <v>Service Activation</v>
      </c>
      <c r="C27" s="34" t="str">
        <f t="shared" si="0"/>
        <v>T1 Simple</v>
      </c>
      <c r="D27" s="35">
        <f>'✏️ SME Input'!D27</f>
        <v>370</v>
      </c>
      <c r="E27" s="35">
        <f>'✏️ SME Input'!E27</f>
        <v>105</v>
      </c>
      <c r="F27" s="35">
        <f>'✏️ SME Input'!F27</f>
        <v>75</v>
      </c>
      <c r="G27" s="35">
        <f>'✏️ SME Input'!G27</f>
        <v>42</v>
      </c>
      <c r="H27" s="35">
        <f>'✏️ SME Input'!H27</f>
        <v>9</v>
      </c>
      <c r="I27" s="35">
        <f>'✏️ SME Input'!I27</f>
        <v>7</v>
      </c>
      <c r="J27" s="35">
        <f>'✏️ SME Input'!J27</f>
        <v>1</v>
      </c>
      <c r="K27" s="35">
        <f>'✏️ SME Input'!K27</f>
        <v>2</v>
      </c>
      <c r="L27" s="35">
        <f>'✏️ SME Input'!L27</f>
        <v>14</v>
      </c>
      <c r="M27" s="35">
        <f>'✏️ SME Input'!M27</f>
        <v>12</v>
      </c>
      <c r="N27" s="21">
        <f>'✏️ SME Input'!N27</f>
        <v>4</v>
      </c>
      <c r="O27" s="36" t="str">
        <f>'✏️ SME Input'!O27</f>
        <v>Medium</v>
      </c>
      <c r="P27" s="36" t="str">
        <f>'✏️ SME Input'!P27</f>
        <v>EC2 (Lift &amp; Shift)</v>
      </c>
      <c r="Q27" s="36" t="str">
        <f>'✏️ SME Input'!C27</f>
        <v>Wave 2</v>
      </c>
      <c r="R27" s="37">
        <f t="shared" si="1"/>
        <v>1243.9104000000002</v>
      </c>
      <c r="S27" s="37">
        <f>((((D27/100)*0.5+F27*0.5+G27*0.2+H27*0.8+I27*1+J27*3+K27*5+(D27/100)*0.3)*8+(L27*IF(O27="High",2,IF(O27="Medium",1,0.5)))*8+(M27*IF(P27="EC2 (Lift &amp; Shift)",0.2,IF(P27="AWS QuickSight",1.5,IF(P27="Power BI",1,0.5))))*8+(10+(D27/100)*0.5)*8)*0.08)*(1-'📊 Dashboard'!C10/100)+((((D27/100)*0.5+F27*0.5+G27*0.2+H27*0.8+I27*1+J27*3+K27*5+(D27/100)*0.3)*8+(D27/100)*0.3*8))*(1-'📊 Dashboard'!C10/100)+((L27*IF(O27="High",2,IF(O27="Medium",1,0.5)))*8)*(1-'📊 Dashboard'!C11/100)+((M27*IF(P27="EC2 (Lift &amp; Shift)",0.2,IF(P27="AWS QuickSight",1.5,IF(P27="Power BI",1,0.5))))*8)*(1-'📊 Dashboard'!C12/100)+((10+(D27/100)*0.5)*8)*(1-'📊 Dashboard'!C10/100)+((((D27/100)*0.5+F27*0.5+G27*0.2+H27*0.8+I27*1+J27*3+K27*5+(D27/100)*0.3)*8+(L27*IF(O27="High",2,IF(O27="Medium",1,0.5)))*8+(M27*IF(P27="EC2 (Lift &amp; Shift)",0.2,IF(P27="AWS QuickSight",1.5,IF(P27="Power BI",1,0.5))))*8+(10+(D27/100)*0.5)*8)*0.28)*(1-'📊 Dashboard'!C13/100)+((((D27/100)*0.5+F27*0.5+G27*0.2+H27*0.8+I27*1+J27*3+K27*5+(D27/100)*0.3)*8+(L27*IF(O27="High",2,IF(O27="Medium",1,0.5)))*8+(M27*IF(P27="EC2 (Lift &amp; Shift)",0.2,IF(P27="AWS QuickSight",1.5,IF(P27="Power BI",1,0.5))))*8+(10+(D27/100)*0.5)*8)*0.12)*(1-'📊 Dashboard'!C10/100)</f>
        <v>901.62272000000007</v>
      </c>
      <c r="T27" s="38">
        <f>S27*(1+'📊 Dashboard'!C14/100)</f>
        <v>1036.8661279999999</v>
      </c>
      <c r="U27" s="45">
        <f t="shared" si="2"/>
        <v>66.758400000000009</v>
      </c>
      <c r="V27" s="45">
        <f t="shared" si="3"/>
        <v>617.36</v>
      </c>
      <c r="W27" s="45">
        <f t="shared" si="4"/>
        <v>112</v>
      </c>
      <c r="X27" s="45">
        <f t="shared" si="5"/>
        <v>19.200000000000003</v>
      </c>
      <c r="Y27" s="45">
        <f t="shared" si="6"/>
        <v>94.8</v>
      </c>
      <c r="Z27" s="45">
        <f t="shared" si="7"/>
        <v>233.65440000000004</v>
      </c>
      <c r="AA27" s="45">
        <f t="shared" si="8"/>
        <v>100.13759999999999</v>
      </c>
      <c r="AB27" s="40">
        <f>'✏️ SME Input'!R27</f>
        <v>4</v>
      </c>
      <c r="AC27" s="45">
        <f t="shared" si="9"/>
        <v>3</v>
      </c>
      <c r="AD27" s="45">
        <f t="shared" si="10"/>
        <v>3</v>
      </c>
      <c r="AE27" s="45">
        <f t="shared" si="11"/>
        <v>3</v>
      </c>
      <c r="AF27" s="45">
        <f t="shared" si="12"/>
        <v>9</v>
      </c>
      <c r="AG27" s="45">
        <f t="shared" si="13"/>
        <v>243.39200000000002</v>
      </c>
      <c r="AH27" s="45">
        <f t="shared" si="14"/>
        <v>243.39200000000002</v>
      </c>
      <c r="AI27" s="45">
        <f t="shared" si="15"/>
        <v>121.69600000000001</v>
      </c>
      <c r="AJ27" s="45">
        <f t="shared" si="16"/>
        <v>56</v>
      </c>
      <c r="AK27" s="45">
        <f t="shared" si="17"/>
        <v>39.199999999999996</v>
      </c>
      <c r="AL27" s="45">
        <f t="shared" si="18"/>
        <v>16.8</v>
      </c>
      <c r="AM27" s="38">
        <f t="shared" si="19"/>
        <v>508.21216000000015</v>
      </c>
      <c r="AN27" s="41">
        <f t="shared" si="20"/>
        <v>491.41216000000009</v>
      </c>
      <c r="AO27" s="42">
        <f t="shared" si="21"/>
        <v>244.40608000000003</v>
      </c>
      <c r="AP27" s="46">
        <f>'✏️ SME Input'!S27</f>
        <v>4</v>
      </c>
      <c r="AQ27" s="46">
        <f>'✏️ SME Input'!T27</f>
        <v>0</v>
      </c>
      <c r="AR27" s="47" t="str">
        <f>'✏️ SME Input'!U27</f>
        <v>Transactional</v>
      </c>
    </row>
    <row r="28" spans="2:44" ht="18" customHeight="1" x14ac:dyDescent="0.3">
      <c r="B28" s="33" t="str">
        <f>'✏️ SME Input'!B28</f>
        <v>Trouble Ticketing DB</v>
      </c>
      <c r="C28" s="34" t="str">
        <f t="shared" si="0"/>
        <v>T1 Simple</v>
      </c>
      <c r="D28" s="35">
        <f>'✏️ SME Input'!D28</f>
        <v>230</v>
      </c>
      <c r="E28" s="35">
        <f>'✏️ SME Input'!E28</f>
        <v>80</v>
      </c>
      <c r="F28" s="35">
        <f>'✏️ SME Input'!F28</f>
        <v>55</v>
      </c>
      <c r="G28" s="35">
        <f>'✏️ SME Input'!G28</f>
        <v>30</v>
      </c>
      <c r="H28" s="35">
        <f>'✏️ SME Input'!H28</f>
        <v>6</v>
      </c>
      <c r="I28" s="35">
        <f>'✏️ SME Input'!I28</f>
        <v>4</v>
      </c>
      <c r="J28" s="35">
        <f>'✏️ SME Input'!J28</f>
        <v>0</v>
      </c>
      <c r="K28" s="35">
        <f>'✏️ SME Input'!K28</f>
        <v>0</v>
      </c>
      <c r="L28" s="35">
        <f>'✏️ SME Input'!L28</f>
        <v>9</v>
      </c>
      <c r="M28" s="35">
        <f>'✏️ SME Input'!M28</f>
        <v>8</v>
      </c>
      <c r="N28" s="21">
        <f>'✏️ SME Input'!N28</f>
        <v>1</v>
      </c>
      <c r="O28" s="36" t="str">
        <f>'✏️ SME Input'!O28</f>
        <v>Medium</v>
      </c>
      <c r="P28" s="36" t="str">
        <f>'✏️ SME Input'!P28</f>
        <v>AWS QuickSight</v>
      </c>
      <c r="Q28" s="36" t="str">
        <f>'✏️ SME Input'!C28</f>
        <v>Wave 2</v>
      </c>
      <c r="R28" s="37">
        <f t="shared" si="1"/>
        <v>908.79359999999997</v>
      </c>
      <c r="S28" s="37">
        <f>((((D28/100)*0.5+F28*0.5+G28*0.2+H28*0.8+I28*1+J28*3+K28*5+(D28/100)*0.3)*8+(L28*IF(O28="High",2,IF(O28="Medium",1,0.5)))*8+(M28*IF(P28="EC2 (Lift &amp; Shift)",0.2,IF(P28="AWS QuickSight",1.5,IF(P28="Power BI",1,0.5))))*8+(10+(D28/100)*0.5)*8)*0.08)*(1-'📊 Dashboard'!C10/100)+((((D28/100)*0.5+F28*0.5+G28*0.2+H28*0.8+I28*1+J28*3+K28*5+(D28/100)*0.3)*8+(D28/100)*0.3*8))*(1-'📊 Dashboard'!C10/100)+((L28*IF(O28="High",2,IF(O28="Medium",1,0.5)))*8)*(1-'📊 Dashboard'!C11/100)+((M28*IF(P28="EC2 (Lift &amp; Shift)",0.2,IF(P28="AWS QuickSight",1.5,IF(P28="Power BI",1,0.5))))*8)*(1-'📊 Dashboard'!C12/100)+((10+(D28/100)*0.5)*8)*(1-'📊 Dashboard'!C10/100)+((((D28/100)*0.5+F28*0.5+G28*0.2+H28*0.8+I28*1+J28*3+K28*5+(D28/100)*0.3)*8+(L28*IF(O28="High",2,IF(O28="Medium",1,0.5)))*8+(M28*IF(P28="EC2 (Lift &amp; Shift)",0.2,IF(P28="AWS QuickSight",1.5,IF(P28="Power BI",1,0.5))))*8+(10+(D28/100)*0.5)*8)*0.28)*(1-'📊 Dashboard'!C13/100)+((((D28/100)*0.5+F28*0.5+G28*0.2+H28*0.8+I28*1+J28*3+K28*5+(D28/100)*0.3)*8+(L28*IF(O28="High",2,IF(O28="Medium",1,0.5)))*8+(M28*IF(P28="EC2 (Lift &amp; Shift)",0.2,IF(P28="AWS QuickSight",1.5,IF(P28="Power BI",1,0.5))))*8+(10+(D28/100)*0.5)*8)*0.12)*(1-'📊 Dashboard'!C10/100)</f>
        <v>666.44448</v>
      </c>
      <c r="T28" s="38">
        <f>S28*(1+'📊 Dashboard'!C14/100)</f>
        <v>766.4111519999999</v>
      </c>
      <c r="U28" s="39">
        <f t="shared" si="2"/>
        <v>48.825600000000009</v>
      </c>
      <c r="V28" s="39">
        <f t="shared" si="3"/>
        <v>358.64</v>
      </c>
      <c r="W28" s="39">
        <f t="shared" si="4"/>
        <v>72</v>
      </c>
      <c r="X28" s="39">
        <f t="shared" si="5"/>
        <v>96</v>
      </c>
      <c r="Y28" s="39">
        <f t="shared" si="6"/>
        <v>89.2</v>
      </c>
      <c r="Z28" s="39">
        <f t="shared" si="7"/>
        <v>170.88960000000003</v>
      </c>
      <c r="AA28" s="39">
        <f t="shared" si="8"/>
        <v>73.238399999999999</v>
      </c>
      <c r="AB28" s="40">
        <f>'✏️ SME Input'!R28</f>
        <v>1</v>
      </c>
      <c r="AC28" s="39">
        <f t="shared" si="9"/>
        <v>0.75</v>
      </c>
      <c r="AD28" s="39">
        <f t="shared" si="10"/>
        <v>0.75</v>
      </c>
      <c r="AE28" s="39">
        <f t="shared" si="11"/>
        <v>0.75</v>
      </c>
      <c r="AF28" s="39">
        <f t="shared" si="12"/>
        <v>2.25</v>
      </c>
      <c r="AG28" s="39">
        <f t="shared" si="13"/>
        <v>141.24800000000002</v>
      </c>
      <c r="AH28" s="39">
        <f t="shared" si="14"/>
        <v>141.24800000000002</v>
      </c>
      <c r="AI28" s="39">
        <f t="shared" si="15"/>
        <v>70.624000000000009</v>
      </c>
      <c r="AJ28" s="39">
        <f t="shared" si="16"/>
        <v>36</v>
      </c>
      <c r="AK28" s="39">
        <f t="shared" si="17"/>
        <v>25.2</v>
      </c>
      <c r="AL28" s="39">
        <f t="shared" si="18"/>
        <v>10.799999999999999</v>
      </c>
      <c r="AM28" s="38">
        <f t="shared" si="19"/>
        <v>369.25944000000004</v>
      </c>
      <c r="AN28" s="41">
        <f t="shared" si="20"/>
        <v>358.45944000000003</v>
      </c>
      <c r="AO28" s="42">
        <f t="shared" si="21"/>
        <v>177.80472000000003</v>
      </c>
      <c r="AP28" s="40">
        <f>'✏️ SME Input'!S28</f>
        <v>1</v>
      </c>
      <c r="AQ28" s="40">
        <f>'✏️ SME Input'!T28</f>
        <v>0</v>
      </c>
      <c r="AR28" s="43" t="str">
        <f>'✏️ SME Input'!U28</f>
        <v>None</v>
      </c>
    </row>
    <row r="29" spans="2:44" ht="18" customHeight="1" x14ac:dyDescent="0.3">
      <c r="B29" s="44" t="str">
        <f>'✏️ SME Input'!B29</f>
        <v>SLA Management</v>
      </c>
      <c r="C29" s="34" t="str">
        <f t="shared" si="0"/>
        <v>T1 Simple</v>
      </c>
      <c r="D29" s="35">
        <f>'✏️ SME Input'!D29</f>
        <v>180</v>
      </c>
      <c r="E29" s="35">
        <f>'✏️ SME Input'!E29</f>
        <v>68</v>
      </c>
      <c r="F29" s="35">
        <f>'✏️ SME Input'!F29</f>
        <v>45</v>
      </c>
      <c r="G29" s="35">
        <f>'✏️ SME Input'!G29</f>
        <v>26</v>
      </c>
      <c r="H29" s="35">
        <f>'✏️ SME Input'!H29</f>
        <v>5</v>
      </c>
      <c r="I29" s="35">
        <f>'✏️ SME Input'!I29</f>
        <v>3</v>
      </c>
      <c r="J29" s="35">
        <f>'✏️ SME Input'!J29</f>
        <v>0</v>
      </c>
      <c r="K29" s="35">
        <f>'✏️ SME Input'!K29</f>
        <v>0</v>
      </c>
      <c r="L29" s="35">
        <f>'✏️ SME Input'!L29</f>
        <v>7</v>
      </c>
      <c r="M29" s="35">
        <f>'✏️ SME Input'!M29</f>
        <v>14</v>
      </c>
      <c r="N29" s="21">
        <f>'✏️ SME Input'!N29</f>
        <v>0</v>
      </c>
      <c r="O29" s="36" t="str">
        <f>'✏️ SME Input'!O29</f>
        <v>Medium</v>
      </c>
      <c r="P29" s="36" t="str">
        <f>'✏️ SME Input'!P29</f>
        <v>AWS QuickSight</v>
      </c>
      <c r="Q29" s="36" t="str">
        <f>'✏️ SME Input'!C29</f>
        <v>Wave 2</v>
      </c>
      <c r="R29" s="37">
        <f t="shared" si="1"/>
        <v>892.79360000000008</v>
      </c>
      <c r="S29" s="37">
        <f>((((D29/100)*0.5+F29*0.5+G29*0.2+H29*0.8+I29*1+J29*3+K29*5+(D29/100)*0.3)*8+(L29*IF(O29="High",2,IF(O29="Medium",1,0.5)))*8+(M29*IF(P29="EC2 (Lift &amp; Shift)",0.2,IF(P29="AWS QuickSight",1.5,IF(P29="Power BI",1,0.5))))*8+(10+(D29/100)*0.5)*8)*0.08)*(1-'📊 Dashboard'!C10/100)+((((D29/100)*0.5+F29*0.5+G29*0.2+H29*0.8+I29*1+J29*3+K29*5+(D29/100)*0.3)*8+(D29/100)*0.3*8))*(1-'📊 Dashboard'!C10/100)+((L29*IF(O29="High",2,IF(O29="Medium",1,0.5)))*8)*(1-'📊 Dashboard'!C11/100)+((M29*IF(P29="EC2 (Lift &amp; Shift)",0.2,IF(P29="AWS QuickSight",1.5,IF(P29="Power BI",1,0.5))))*8)*(1-'📊 Dashboard'!C12/100)+((10+(D29/100)*0.5)*8)*(1-'📊 Dashboard'!C10/100)+((((D29/100)*0.5+F29*0.5+G29*0.2+H29*0.8+I29*1+J29*3+K29*5+(D29/100)*0.3)*8+(L29*IF(O29="High",2,IF(O29="Medium",1,0.5)))*8+(M29*IF(P29="EC2 (Lift &amp; Shift)",0.2,IF(P29="AWS QuickSight",1.5,IF(P29="Power BI",1,0.5))))*8+(10+(D29/100)*0.5)*8)*0.28)*(1-'📊 Dashboard'!C13/100)+((((D29/100)*0.5+F29*0.5+G29*0.2+H29*0.8+I29*1+J29*3+K29*5+(D29/100)*0.3)*8+(L29*IF(O29="High",2,IF(O29="Medium",1,0.5)))*8+(M29*IF(P29="EC2 (Lift &amp; Shift)",0.2,IF(P29="AWS QuickSight",1.5,IF(P29="Power BI",1,0.5))))*8+(10+(D29/100)*0.5)*8)*0.12)*(1-'📊 Dashboard'!C10/100)</f>
        <v>661.36447999999996</v>
      </c>
      <c r="T29" s="38">
        <f>S29*(1+'📊 Dashboard'!C14/100)</f>
        <v>760.56915199999992</v>
      </c>
      <c r="U29" s="45">
        <f t="shared" si="2"/>
        <v>48.025599999999997</v>
      </c>
      <c r="V29" s="45">
        <f t="shared" si="3"/>
        <v>293.43999999999994</v>
      </c>
      <c r="W29" s="45">
        <f t="shared" si="4"/>
        <v>56</v>
      </c>
      <c r="X29" s="45">
        <f t="shared" si="5"/>
        <v>168</v>
      </c>
      <c r="Y29" s="45">
        <f t="shared" si="6"/>
        <v>87.2</v>
      </c>
      <c r="Z29" s="45">
        <f t="shared" si="7"/>
        <v>168.08959999999999</v>
      </c>
      <c r="AA29" s="45">
        <f t="shared" si="8"/>
        <v>72.038399999999996</v>
      </c>
      <c r="AB29" s="40">
        <f>'✏️ SME Input'!R29</f>
        <v>0</v>
      </c>
      <c r="AC29" s="45">
        <f t="shared" si="9"/>
        <v>0</v>
      </c>
      <c r="AD29" s="45">
        <f t="shared" si="10"/>
        <v>0</v>
      </c>
      <c r="AE29" s="45">
        <f t="shared" si="11"/>
        <v>0</v>
      </c>
      <c r="AF29" s="45">
        <f t="shared" si="12"/>
        <v>0</v>
      </c>
      <c r="AG29" s="45">
        <f t="shared" si="13"/>
        <v>115.64799999999998</v>
      </c>
      <c r="AH29" s="45">
        <f t="shared" si="14"/>
        <v>115.64799999999998</v>
      </c>
      <c r="AI29" s="45">
        <f t="shared" si="15"/>
        <v>57.823999999999991</v>
      </c>
      <c r="AJ29" s="45">
        <f t="shared" si="16"/>
        <v>28</v>
      </c>
      <c r="AK29" s="45">
        <f t="shared" si="17"/>
        <v>19.599999999999998</v>
      </c>
      <c r="AL29" s="45">
        <f t="shared" si="18"/>
        <v>8.4</v>
      </c>
      <c r="AM29" s="38">
        <f t="shared" si="19"/>
        <v>360.98943999999995</v>
      </c>
      <c r="AN29" s="41">
        <f t="shared" si="20"/>
        <v>352.58943999999997</v>
      </c>
      <c r="AO29" s="42">
        <f t="shared" si="21"/>
        <v>174.89471999999998</v>
      </c>
      <c r="AP29" s="46">
        <f>'✏️ SME Input'!S29</f>
        <v>1</v>
      </c>
      <c r="AQ29" s="46">
        <f>'✏️ SME Input'!T29</f>
        <v>0</v>
      </c>
      <c r="AR29" s="47" t="str">
        <f>'✏️ SME Input'!U29</f>
        <v>None</v>
      </c>
    </row>
    <row r="30" spans="2:44" ht="18" customHeight="1" x14ac:dyDescent="0.3">
      <c r="B30" s="33" t="str">
        <f>'✏️ SME Input'!B30</f>
        <v>Analytics Data Mart</v>
      </c>
      <c r="C30" s="34" t="str">
        <f t="shared" si="0"/>
        <v>T3 Complex</v>
      </c>
      <c r="D30" s="35">
        <f>'✏️ SME Input'!D30</f>
        <v>1800</v>
      </c>
      <c r="E30" s="35">
        <f>'✏️ SME Input'!E30</f>
        <v>350</v>
      </c>
      <c r="F30" s="35">
        <f>'✏️ SME Input'!F30</f>
        <v>80</v>
      </c>
      <c r="G30" s="35">
        <f>'✏️ SME Input'!G30</f>
        <v>120</v>
      </c>
      <c r="H30" s="35">
        <f>'✏️ SME Input'!H30</f>
        <v>8</v>
      </c>
      <c r="I30" s="35">
        <f>'✏️ SME Input'!I30</f>
        <v>18</v>
      </c>
      <c r="J30" s="35">
        <f>'✏️ SME Input'!J30</f>
        <v>5</v>
      </c>
      <c r="K30" s="35">
        <f>'✏️ SME Input'!K30</f>
        <v>0</v>
      </c>
      <c r="L30" s="35">
        <f>'✏️ SME Input'!L30</f>
        <v>15</v>
      </c>
      <c r="M30" s="35">
        <f>'✏️ SME Input'!M30</f>
        <v>60</v>
      </c>
      <c r="N30" s="21">
        <f>'✏️ SME Input'!N30</f>
        <v>0</v>
      </c>
      <c r="O30" s="36" t="str">
        <f>'✏️ SME Input'!O30</f>
        <v>High</v>
      </c>
      <c r="P30" s="36" t="str">
        <f>'✏️ SME Input'!P30</f>
        <v>Power BI</v>
      </c>
      <c r="Q30" s="36" t="str">
        <f>'✏️ SME Input'!C30</f>
        <v>Wave 4</v>
      </c>
      <c r="R30" s="37">
        <f t="shared" si="1"/>
        <v>2728.5120000000002</v>
      </c>
      <c r="S30" s="37">
        <f>((((D30/100)*0.5+F30*0.5+G30*0.2+H30*0.8+I30*1+J30*3+K30*5+(D30/100)*0.3)*8+(L30*IF(O30="High",2,IF(O30="Medium",1,0.5)))*8+(M30*IF(P30="EC2 (Lift &amp; Shift)",0.2,IF(P30="AWS QuickSight",1.5,IF(P30="Power BI",1,0.5))))*8+(10+(D30/100)*0.5)*8)*0.08)*(1-'📊 Dashboard'!C10/100)+((((D30/100)*0.5+F30*0.5+G30*0.2+H30*0.8+I30*1+J30*3+K30*5+(D30/100)*0.3)*8+(D30/100)*0.3*8))*(1-'📊 Dashboard'!C10/100)+((L30*IF(O30="High",2,IF(O30="Medium",1,0.5)))*8)*(1-'📊 Dashboard'!C11/100)+((M30*IF(P30="EC2 (Lift &amp; Shift)",0.2,IF(P30="AWS QuickSight",1.5,IF(P30="Power BI",1,0.5))))*8)*(1-'📊 Dashboard'!C12/100)+((10+(D30/100)*0.5)*8)*(1-'📊 Dashboard'!C10/100)+((((D30/100)*0.5+F30*0.5+G30*0.2+H30*0.8+I30*1+J30*3+K30*5+(D30/100)*0.3)*8+(L30*IF(O30="High",2,IF(O30="Medium",1,0.5)))*8+(M30*IF(P30="EC2 (Lift &amp; Shift)",0.2,IF(P30="AWS QuickSight",1.5,IF(P30="Power BI",1,0.5))))*8+(10+(D30/100)*0.5)*8)*0.28)*(1-'📊 Dashboard'!C13/100)+((((D30/100)*0.5+F30*0.5+G30*0.2+H30*0.8+I30*1+J30*3+K30*5+(D30/100)*0.3)*8+(L30*IF(O30="High",2,IF(O30="Medium",1,0.5)))*8+(M30*IF(P30="EC2 (Lift &amp; Shift)",0.2,IF(P30="AWS QuickSight",1.5,IF(P30="Power BI",1,0.5))))*8+(10+(D30/100)*0.5)*8)*0.12)*(1-'📊 Dashboard'!C10/100)</f>
        <v>2020.7616000000003</v>
      </c>
      <c r="T30" s="38">
        <f>S30*(1+'📊 Dashboard'!C14/100)</f>
        <v>2323.8758400000002</v>
      </c>
      <c r="U30" s="39">
        <f t="shared" si="2"/>
        <v>145.15200000000002</v>
      </c>
      <c r="V30" s="39">
        <f t="shared" si="3"/>
        <v>985.60000000000014</v>
      </c>
      <c r="W30" s="39">
        <f t="shared" si="4"/>
        <v>240</v>
      </c>
      <c r="X30" s="39">
        <f t="shared" si="5"/>
        <v>480</v>
      </c>
      <c r="Y30" s="39">
        <f t="shared" si="6"/>
        <v>152</v>
      </c>
      <c r="Z30" s="39">
        <f t="shared" si="7"/>
        <v>508.0320000000001</v>
      </c>
      <c r="AA30" s="39">
        <f t="shared" si="8"/>
        <v>217.72800000000001</v>
      </c>
      <c r="AB30" s="40">
        <f>'✏️ SME Input'!R30</f>
        <v>0</v>
      </c>
      <c r="AC30" s="39">
        <f t="shared" si="9"/>
        <v>0</v>
      </c>
      <c r="AD30" s="39">
        <f t="shared" si="10"/>
        <v>0</v>
      </c>
      <c r="AE30" s="39">
        <f t="shared" si="11"/>
        <v>0</v>
      </c>
      <c r="AF30" s="39">
        <f t="shared" si="12"/>
        <v>0</v>
      </c>
      <c r="AG30" s="39">
        <f t="shared" si="13"/>
        <v>376.96000000000004</v>
      </c>
      <c r="AH30" s="39">
        <f t="shared" si="14"/>
        <v>376.96000000000004</v>
      </c>
      <c r="AI30" s="39">
        <f t="shared" si="15"/>
        <v>188.48000000000002</v>
      </c>
      <c r="AJ30" s="39">
        <f t="shared" si="16"/>
        <v>120</v>
      </c>
      <c r="AK30" s="39">
        <f t="shared" si="17"/>
        <v>84</v>
      </c>
      <c r="AL30" s="39">
        <f t="shared" si="18"/>
        <v>36</v>
      </c>
      <c r="AM30" s="38">
        <f t="shared" si="19"/>
        <v>1098.1248000000001</v>
      </c>
      <c r="AN30" s="41">
        <f t="shared" si="20"/>
        <v>1062.1248000000001</v>
      </c>
      <c r="AO30" s="42">
        <f t="shared" si="21"/>
        <v>525.06240000000003</v>
      </c>
      <c r="AP30" s="40">
        <f>'✏️ SME Input'!S30</f>
        <v>0</v>
      </c>
      <c r="AQ30" s="40">
        <f>'✏️ SME Input'!T30</f>
        <v>0</v>
      </c>
      <c r="AR30" s="43" t="str">
        <f>'✏️ SME Input'!U30</f>
        <v>None</v>
      </c>
    </row>
    <row r="31" spans="2:44" ht="18" customHeight="1" x14ac:dyDescent="0.3">
      <c r="B31" s="44" t="str">
        <f>'✏️ SME Input'!B31</f>
        <v>Regulatory Reporting DB</v>
      </c>
      <c r="C31" s="34" t="str">
        <f t="shared" si="0"/>
        <v>T1 Simple</v>
      </c>
      <c r="D31" s="35">
        <f>'✏️ SME Input'!D31</f>
        <v>290</v>
      </c>
      <c r="E31" s="35">
        <f>'✏️ SME Input'!E31</f>
        <v>88</v>
      </c>
      <c r="F31" s="35">
        <f>'✏️ SME Input'!F31</f>
        <v>62</v>
      </c>
      <c r="G31" s="35">
        <f>'✏️ SME Input'!G31</f>
        <v>34</v>
      </c>
      <c r="H31" s="35">
        <f>'✏️ SME Input'!H31</f>
        <v>7</v>
      </c>
      <c r="I31" s="35">
        <f>'✏️ SME Input'!I31</f>
        <v>6</v>
      </c>
      <c r="J31" s="35">
        <f>'✏️ SME Input'!J31</f>
        <v>1</v>
      </c>
      <c r="K31" s="35">
        <f>'✏️ SME Input'!K31</f>
        <v>0</v>
      </c>
      <c r="L31" s="35">
        <f>'✏️ SME Input'!L31</f>
        <v>10</v>
      </c>
      <c r="M31" s="35">
        <f>'✏️ SME Input'!M31</f>
        <v>30</v>
      </c>
      <c r="N31" s="21">
        <f>'✏️ SME Input'!N31</f>
        <v>2</v>
      </c>
      <c r="O31" s="36" t="str">
        <f>'✏️ SME Input'!O31</f>
        <v>Medium</v>
      </c>
      <c r="P31" s="36" t="str">
        <f>'✏️ SME Input'!P31</f>
        <v>EC2 (Lift &amp; Shift)</v>
      </c>
      <c r="Q31" s="36" t="str">
        <f>'✏️ SME Input'!C31</f>
        <v>Wave 3</v>
      </c>
      <c r="R31" s="37">
        <f t="shared" si="1"/>
        <v>979.85280000000012</v>
      </c>
      <c r="S31" s="37">
        <f>((((D31/100)*0.5+F31*0.5+G31*0.2+H31*0.8+I31*1+J31*3+K31*5+(D31/100)*0.3)*8+(L31*IF(O31="High",2,IF(O31="Medium",1,0.5)))*8+(M31*IF(P31="EC2 (Lift &amp; Shift)",0.2,IF(P31="AWS QuickSight",1.5,IF(P31="Power BI",1,0.5))))*8+(10+(D31/100)*0.5)*8)*0.08)*(1-'📊 Dashboard'!C10/100)+((((D31/100)*0.5+F31*0.5+G31*0.2+H31*0.8+I31*1+J31*3+K31*5+(D31/100)*0.3)*8+(D31/100)*0.3*8))*(1-'📊 Dashboard'!C10/100)+((L31*IF(O31="High",2,IF(O31="Medium",1,0.5)))*8)*(1-'📊 Dashboard'!C11/100)+((M31*IF(P31="EC2 (Lift &amp; Shift)",0.2,IF(P31="AWS QuickSight",1.5,IF(P31="Power BI",1,0.5))))*8)*(1-'📊 Dashboard'!C12/100)+((10+(D31/100)*0.5)*8)*(1-'📊 Dashboard'!C10/100)+((((D31/100)*0.5+F31*0.5+G31*0.2+H31*0.8+I31*1+J31*3+K31*5+(D31/100)*0.3)*8+(L31*IF(O31="High",2,IF(O31="Medium",1,0.5)))*8+(M31*IF(P31="EC2 (Lift &amp; Shift)",0.2,IF(P31="AWS QuickSight",1.5,IF(P31="Power BI",1,0.5))))*8+(10+(D31/100)*0.5)*8)*0.28)*(1-'📊 Dashboard'!C13/100)+((((D31/100)*0.5+F31*0.5+G31*0.2+H31*0.8+I31*1+J31*3+K31*5+(D31/100)*0.3)*8+(L31*IF(O31="High",2,IF(O31="Medium",1,0.5)))*8+(M31*IF(P31="EC2 (Lift &amp; Shift)",0.2,IF(P31="AWS QuickSight",1.5,IF(P31="Power BI",1,0.5))))*8+(10+(D31/100)*0.5)*8)*0.12)*(1-'📊 Dashboard'!C10/100)</f>
        <v>713.10304000000008</v>
      </c>
      <c r="T31" s="38">
        <f>S31*(1+'📊 Dashboard'!C14/100)</f>
        <v>820.06849599999998</v>
      </c>
      <c r="U31" s="45">
        <f t="shared" si="2"/>
        <v>52.588799999999999</v>
      </c>
      <c r="V31" s="45">
        <f t="shared" si="3"/>
        <v>444.71999999999997</v>
      </c>
      <c r="W31" s="45">
        <f t="shared" si="4"/>
        <v>80</v>
      </c>
      <c r="X31" s="45">
        <f t="shared" si="5"/>
        <v>48</v>
      </c>
      <c r="Y31" s="45">
        <f t="shared" si="6"/>
        <v>91.6</v>
      </c>
      <c r="Z31" s="45">
        <f t="shared" si="7"/>
        <v>184.06080000000003</v>
      </c>
      <c r="AA31" s="45">
        <f t="shared" si="8"/>
        <v>78.883200000000002</v>
      </c>
      <c r="AB31" s="40">
        <f>'✏️ SME Input'!R31</f>
        <v>2</v>
      </c>
      <c r="AC31" s="45">
        <f t="shared" si="9"/>
        <v>1.5</v>
      </c>
      <c r="AD31" s="45">
        <f t="shared" si="10"/>
        <v>1.5</v>
      </c>
      <c r="AE31" s="45">
        <f t="shared" si="11"/>
        <v>1.5</v>
      </c>
      <c r="AF31" s="45">
        <f t="shared" si="12"/>
        <v>4.5</v>
      </c>
      <c r="AG31" s="45">
        <f t="shared" si="13"/>
        <v>175.10400000000001</v>
      </c>
      <c r="AH31" s="45">
        <f t="shared" si="14"/>
        <v>175.10400000000001</v>
      </c>
      <c r="AI31" s="45">
        <f t="shared" si="15"/>
        <v>87.552000000000007</v>
      </c>
      <c r="AJ31" s="45">
        <f t="shared" si="16"/>
        <v>40</v>
      </c>
      <c r="AK31" s="45">
        <f t="shared" si="17"/>
        <v>28</v>
      </c>
      <c r="AL31" s="45">
        <f t="shared" si="18"/>
        <v>12</v>
      </c>
      <c r="AM31" s="38">
        <f t="shared" si="19"/>
        <v>398.65712000000008</v>
      </c>
      <c r="AN31" s="41">
        <f t="shared" si="20"/>
        <v>386.65712000000008</v>
      </c>
      <c r="AO31" s="42">
        <f t="shared" si="21"/>
        <v>192.07856000000004</v>
      </c>
      <c r="AP31" s="46">
        <f>'✏️ SME Input'!S31</f>
        <v>3</v>
      </c>
      <c r="AQ31" s="46">
        <f>'✏️ SME Input'!T31</f>
        <v>0</v>
      </c>
      <c r="AR31" s="47" t="str">
        <f>'✏️ SME Input'!U31</f>
        <v>Snapshot</v>
      </c>
    </row>
    <row r="32" spans="2:44" ht="18" customHeight="1" x14ac:dyDescent="0.3">
      <c r="B32" s="33" t="str">
        <f>'✏️ SME Input'!B32</f>
        <v>Campaign Management</v>
      </c>
      <c r="C32" s="34" t="str">
        <f t="shared" si="0"/>
        <v>T1 Simple</v>
      </c>
      <c r="D32" s="35">
        <f>'✏️ SME Input'!D32</f>
        <v>170</v>
      </c>
      <c r="E32" s="35">
        <f>'✏️ SME Input'!E32</f>
        <v>60</v>
      </c>
      <c r="F32" s="35">
        <f>'✏️ SME Input'!F32</f>
        <v>40</v>
      </c>
      <c r="G32" s="35">
        <f>'✏️ SME Input'!G32</f>
        <v>24</v>
      </c>
      <c r="H32" s="35">
        <f>'✏️ SME Input'!H32</f>
        <v>4</v>
      </c>
      <c r="I32" s="35">
        <f>'✏️ SME Input'!I32</f>
        <v>3</v>
      </c>
      <c r="J32" s="35">
        <f>'✏️ SME Input'!J32</f>
        <v>0</v>
      </c>
      <c r="K32" s="35">
        <f>'✏️ SME Input'!K32</f>
        <v>0</v>
      </c>
      <c r="L32" s="35">
        <f>'✏️ SME Input'!L32</f>
        <v>6</v>
      </c>
      <c r="M32" s="35">
        <f>'✏️ SME Input'!M32</f>
        <v>8</v>
      </c>
      <c r="N32" s="21">
        <f>'✏️ SME Input'!N32</f>
        <v>0</v>
      </c>
      <c r="O32" s="36" t="str">
        <f>'✏️ SME Input'!O32</f>
        <v>Low</v>
      </c>
      <c r="P32" s="36" t="str">
        <f>'✏️ SME Input'!P32</f>
        <v>AWS QuickSight</v>
      </c>
      <c r="Q32" s="36" t="str">
        <f>'✏️ SME Input'!C32</f>
        <v>Wave 1</v>
      </c>
      <c r="R32" s="37">
        <f t="shared" si="1"/>
        <v>693.28640000000007</v>
      </c>
      <c r="S32" s="37">
        <f>((((D32/100)*0.5+F32*0.5+G32*0.2+H32*0.8+I32*1+J32*3+K32*5+(D32/100)*0.3)*8+(L32*IF(O32="High",2,IF(O32="Medium",1,0.5)))*8+(M32*IF(P32="EC2 (Lift &amp; Shift)",0.2,IF(P32="AWS QuickSight",1.5,IF(P32="Power BI",1,0.5))))*8+(10+(D32/100)*0.5)*8)*0.08)*(1-'📊 Dashboard'!C10/100)+((((D32/100)*0.5+F32*0.5+G32*0.2+H32*0.8+I32*1+J32*3+K32*5+(D32/100)*0.3)*8+(D32/100)*0.3*8))*(1-'📊 Dashboard'!C10/100)+((L32*IF(O32="High",2,IF(O32="Medium",1,0.5)))*8)*(1-'📊 Dashboard'!C11/100)+((M32*IF(P32="EC2 (Lift &amp; Shift)",0.2,IF(P32="AWS QuickSight",1.5,IF(P32="Power BI",1,0.5))))*8)*(1-'📊 Dashboard'!C12/100)+((10+(D32/100)*0.5)*8)*(1-'📊 Dashboard'!C10/100)+((((D32/100)*0.5+F32*0.5+G32*0.2+H32*0.8+I32*1+J32*3+K32*5+(D32/100)*0.3)*8+(L32*IF(O32="High",2,IF(O32="Medium",1,0.5)))*8+(M32*IF(P32="EC2 (Lift &amp; Shift)",0.2,IF(P32="AWS QuickSight",1.5,IF(P32="Power BI",1,0.5))))*8+(10+(D32/100)*0.5)*8)*0.28)*(1-'📊 Dashboard'!C13/100)+((((D32/100)*0.5+F32*0.5+G32*0.2+H32*0.8+I32*1+J32*3+K32*5+(D32/100)*0.3)*8+(L32*IF(O32="High",2,IF(O32="Medium",1,0.5)))*8+(M32*IF(P32="EC2 (Lift &amp; Shift)",0.2,IF(P32="AWS QuickSight",1.5,IF(P32="Power BI",1,0.5))))*8+(10+(D32/100)*0.5)*8)*0.12)*(1-'📊 Dashboard'!C10/100)</f>
        <v>509.13951999999995</v>
      </c>
      <c r="T32" s="38">
        <f>S32*(1+'📊 Dashboard'!C14/100)</f>
        <v>585.51044799999988</v>
      </c>
      <c r="U32" s="39">
        <f t="shared" si="2"/>
        <v>37.254400000000004</v>
      </c>
      <c r="V32" s="39">
        <f t="shared" si="3"/>
        <v>262.95999999999998</v>
      </c>
      <c r="W32" s="39">
        <f t="shared" si="4"/>
        <v>24</v>
      </c>
      <c r="X32" s="39">
        <f t="shared" si="5"/>
        <v>96</v>
      </c>
      <c r="Y32" s="39">
        <f t="shared" si="6"/>
        <v>86.8</v>
      </c>
      <c r="Z32" s="39">
        <f t="shared" si="7"/>
        <v>130.39040000000003</v>
      </c>
      <c r="AA32" s="39">
        <f t="shared" si="8"/>
        <v>55.881599999999999</v>
      </c>
      <c r="AB32" s="40">
        <f>'✏️ SME Input'!R32</f>
        <v>0</v>
      </c>
      <c r="AC32" s="39">
        <f t="shared" si="9"/>
        <v>0</v>
      </c>
      <c r="AD32" s="39">
        <f t="shared" si="10"/>
        <v>0</v>
      </c>
      <c r="AE32" s="39">
        <f t="shared" si="11"/>
        <v>0</v>
      </c>
      <c r="AF32" s="39">
        <f t="shared" si="12"/>
        <v>0</v>
      </c>
      <c r="AG32" s="39">
        <f t="shared" si="13"/>
        <v>103.55200000000001</v>
      </c>
      <c r="AH32" s="39">
        <f t="shared" si="14"/>
        <v>103.55200000000001</v>
      </c>
      <c r="AI32" s="39">
        <f t="shared" si="15"/>
        <v>51.776000000000003</v>
      </c>
      <c r="AJ32" s="39">
        <f t="shared" si="16"/>
        <v>12</v>
      </c>
      <c r="AK32" s="39">
        <f t="shared" si="17"/>
        <v>8.3999999999999986</v>
      </c>
      <c r="AL32" s="39">
        <f t="shared" si="18"/>
        <v>3.5999999999999996</v>
      </c>
      <c r="AM32" s="38">
        <f t="shared" si="19"/>
        <v>278.08256000000006</v>
      </c>
      <c r="AN32" s="41">
        <f t="shared" si="20"/>
        <v>274.48256000000003</v>
      </c>
      <c r="AO32" s="42">
        <f t="shared" si="21"/>
        <v>136.64128000000002</v>
      </c>
      <c r="AP32" s="40">
        <f>'✏️ SME Input'!S32</f>
        <v>0</v>
      </c>
      <c r="AQ32" s="40">
        <f>'✏️ SME Input'!T32</f>
        <v>0</v>
      </c>
      <c r="AR32" s="43" t="str">
        <f>'✏️ SME Input'!U32</f>
        <v>None</v>
      </c>
    </row>
    <row r="33" spans="2:44" ht="18" customHeight="1" x14ac:dyDescent="0.3">
      <c r="B33" s="44" t="str">
        <f>'✏️ SME Input'!B33</f>
        <v>Equipment Inventory</v>
      </c>
      <c r="C33" s="34" t="str">
        <f t="shared" si="0"/>
        <v>T1 Simple</v>
      </c>
      <c r="D33" s="35">
        <f>'✏️ SME Input'!D33</f>
        <v>130</v>
      </c>
      <c r="E33" s="35">
        <f>'✏️ SME Input'!E33</f>
        <v>50</v>
      </c>
      <c r="F33" s="35">
        <f>'✏️ SME Input'!F33</f>
        <v>32</v>
      </c>
      <c r="G33" s="35">
        <f>'✏️ SME Input'!G33</f>
        <v>18</v>
      </c>
      <c r="H33" s="35">
        <f>'✏️ SME Input'!H33</f>
        <v>3</v>
      </c>
      <c r="I33" s="35">
        <f>'✏️ SME Input'!I33</f>
        <v>2</v>
      </c>
      <c r="J33" s="35">
        <f>'✏️ SME Input'!J33</f>
        <v>0</v>
      </c>
      <c r="K33" s="35">
        <f>'✏️ SME Input'!K33</f>
        <v>0</v>
      </c>
      <c r="L33" s="35">
        <f>'✏️ SME Input'!L33</f>
        <v>4</v>
      </c>
      <c r="M33" s="35">
        <f>'✏️ SME Input'!M33</f>
        <v>5</v>
      </c>
      <c r="N33" s="21">
        <f>'✏️ SME Input'!N33</f>
        <v>0</v>
      </c>
      <c r="O33" s="36" t="str">
        <f>'✏️ SME Input'!O33</f>
        <v>Low</v>
      </c>
      <c r="P33" s="36" t="str">
        <f>'✏️ SME Input'!P33</f>
        <v>AWS QuickSight</v>
      </c>
      <c r="Q33" s="36" t="str">
        <f>'✏️ SME Input'!C33</f>
        <v>Wave 1</v>
      </c>
      <c r="R33" s="37">
        <f t="shared" si="1"/>
        <v>538.16959999999995</v>
      </c>
      <c r="S33" s="37">
        <f>((((D33/100)*0.5+F33*0.5+G33*0.2+H33*0.8+I33*1+J33*3+K33*5+(D33/100)*0.3)*8+(L33*IF(O33="High",2,IF(O33="Medium",1,0.5)))*8+(M33*IF(P33="EC2 (Lift &amp; Shift)",0.2,IF(P33="AWS QuickSight",1.5,IF(P33="Power BI",1,0.5))))*8+(10+(D33/100)*0.5)*8)*0.08)*(1-'📊 Dashboard'!C10/100)+((((D33/100)*0.5+F33*0.5+G33*0.2+H33*0.8+I33*1+J33*3+K33*5+(D33/100)*0.3)*8+(D33/100)*0.3*8))*(1-'📊 Dashboard'!C10/100)+((L33*IF(O33="High",2,IF(O33="Medium",1,0.5)))*8)*(1-'📊 Dashboard'!C11/100)+((M33*IF(P33="EC2 (Lift &amp; Shift)",0.2,IF(P33="AWS QuickSight",1.5,IF(P33="Power BI",1,0.5))))*8)*(1-'📊 Dashboard'!C12/100)+((10+(D33/100)*0.5)*8)*(1-'📊 Dashboard'!C10/100)+((((D33/100)*0.5+F33*0.5+G33*0.2+H33*0.8+I33*1+J33*3+K33*5+(D33/100)*0.3)*8+(L33*IF(O33="High",2,IF(O33="Medium",1,0.5)))*8+(M33*IF(P33="EC2 (Lift &amp; Shift)",0.2,IF(P33="AWS QuickSight",1.5,IF(P33="Power BI",1,0.5))))*8+(10+(D33/100)*0.5)*8)*0.28)*(1-'📊 Dashboard'!C13/100)+((((D33/100)*0.5+F33*0.5+G33*0.2+H33*0.8+I33*1+J33*3+K33*5+(D33/100)*0.3)*8+(L33*IF(O33="High",2,IF(O33="Medium",1,0.5)))*8+(M33*IF(P33="EC2 (Lift &amp; Shift)",0.2,IF(P33="AWS QuickSight",1.5,IF(P33="Power BI",1,0.5))))*8+(10+(D33/100)*0.5)*8)*0.12)*(1-'📊 Dashboard'!C10/100)</f>
        <v>393.64127999999999</v>
      </c>
      <c r="T33" s="38">
        <f>S33*(1+'📊 Dashboard'!C14/100)</f>
        <v>452.68747199999996</v>
      </c>
      <c r="U33" s="45">
        <f t="shared" si="2"/>
        <v>28.921599999999998</v>
      </c>
      <c r="V33" s="45">
        <f t="shared" si="3"/>
        <v>203.44</v>
      </c>
      <c r="W33" s="45">
        <f t="shared" si="4"/>
        <v>16</v>
      </c>
      <c r="X33" s="45">
        <f t="shared" si="5"/>
        <v>60</v>
      </c>
      <c r="Y33" s="45">
        <f t="shared" si="6"/>
        <v>85.2</v>
      </c>
      <c r="Z33" s="45">
        <f t="shared" si="7"/>
        <v>101.2256</v>
      </c>
      <c r="AA33" s="45">
        <f t="shared" si="8"/>
        <v>43.382399999999997</v>
      </c>
      <c r="AB33" s="40">
        <f>'✏️ SME Input'!R33</f>
        <v>0</v>
      </c>
      <c r="AC33" s="45">
        <f t="shared" si="9"/>
        <v>0</v>
      </c>
      <c r="AD33" s="45">
        <f t="shared" si="10"/>
        <v>0</v>
      </c>
      <c r="AE33" s="45">
        <f t="shared" si="11"/>
        <v>0</v>
      </c>
      <c r="AF33" s="45">
        <f t="shared" si="12"/>
        <v>0</v>
      </c>
      <c r="AG33" s="45">
        <f t="shared" si="13"/>
        <v>80.128</v>
      </c>
      <c r="AH33" s="45">
        <f t="shared" si="14"/>
        <v>80.128</v>
      </c>
      <c r="AI33" s="45">
        <f t="shared" si="15"/>
        <v>40.064</v>
      </c>
      <c r="AJ33" s="45">
        <f t="shared" si="16"/>
        <v>8</v>
      </c>
      <c r="AK33" s="45">
        <f t="shared" si="17"/>
        <v>5.6</v>
      </c>
      <c r="AL33" s="45">
        <f t="shared" si="18"/>
        <v>2.4</v>
      </c>
      <c r="AM33" s="38">
        <f t="shared" si="19"/>
        <v>215.61983999999998</v>
      </c>
      <c r="AN33" s="41">
        <f t="shared" si="20"/>
        <v>213.21983999999998</v>
      </c>
      <c r="AO33" s="42">
        <f t="shared" si="21"/>
        <v>106.20992</v>
      </c>
      <c r="AP33" s="46">
        <f>'✏️ SME Input'!S33</f>
        <v>0</v>
      </c>
      <c r="AQ33" s="46">
        <f>'✏️ SME Input'!T33</f>
        <v>0</v>
      </c>
      <c r="AR33" s="47" t="str">
        <f>'✏️ SME Input'!U33</f>
        <v>None</v>
      </c>
    </row>
    <row r="34" spans="2:44" ht="18" customHeight="1" x14ac:dyDescent="0.3">
      <c r="B34" s="33" t="str">
        <f>'✏️ SME Input'!B34</f>
        <v>Payment Gateway DB</v>
      </c>
      <c r="C34" s="34" t="str">
        <f t="shared" si="0"/>
        <v>T1 Simple</v>
      </c>
      <c r="D34" s="35">
        <f>'✏️ SME Input'!D34</f>
        <v>410</v>
      </c>
      <c r="E34" s="35">
        <f>'✏️ SME Input'!E34</f>
        <v>115</v>
      </c>
      <c r="F34" s="35">
        <f>'✏️ SME Input'!F34</f>
        <v>82</v>
      </c>
      <c r="G34" s="35">
        <f>'✏️ SME Input'!G34</f>
        <v>44</v>
      </c>
      <c r="H34" s="35">
        <f>'✏️ SME Input'!H34</f>
        <v>10</v>
      </c>
      <c r="I34" s="35">
        <f>'✏️ SME Input'!I34</f>
        <v>8</v>
      </c>
      <c r="J34" s="35">
        <f>'✏️ SME Input'!J34</f>
        <v>2</v>
      </c>
      <c r="K34" s="35">
        <f>'✏️ SME Input'!K34</f>
        <v>2</v>
      </c>
      <c r="L34" s="35">
        <f>'✏️ SME Input'!L34</f>
        <v>16</v>
      </c>
      <c r="M34" s="35">
        <f>'✏️ SME Input'!M34</f>
        <v>10</v>
      </c>
      <c r="N34" s="21">
        <f>'✏️ SME Input'!N34</f>
        <v>5</v>
      </c>
      <c r="O34" s="36" t="str">
        <f>'✏️ SME Input'!O34</f>
        <v>Medium</v>
      </c>
      <c r="P34" s="36" t="str">
        <f>'✏️ SME Input'!P34</f>
        <v>EC2 (Lift &amp; Shift)</v>
      </c>
      <c r="Q34" s="36" t="str">
        <f>'✏️ SME Input'!C34</f>
        <v>Wave 3</v>
      </c>
      <c r="R34" s="37">
        <f t="shared" si="1"/>
        <v>1372.9792</v>
      </c>
      <c r="S34" s="37">
        <f>((((D34/100)*0.5+F34*0.5+G34*0.2+H34*0.8+I34*1+J34*3+K34*5+(D34/100)*0.3)*8+(L34*IF(O34="High",2,IF(O34="Medium",1,0.5)))*8+(M34*IF(P34="EC2 (Lift &amp; Shift)",0.2,IF(P34="AWS QuickSight",1.5,IF(P34="Power BI",1,0.5))))*8+(10+(D34/100)*0.5)*8)*0.08)*(1-'📊 Dashboard'!C10/100)+((((D34/100)*0.5+F34*0.5+G34*0.2+H34*0.8+I34*1+J34*3+K34*5+(D34/100)*0.3)*8+(D34/100)*0.3*8))*(1-'📊 Dashboard'!C10/100)+((L34*IF(O34="High",2,IF(O34="Medium",1,0.5)))*8)*(1-'📊 Dashboard'!C11/100)+((M34*IF(P34="EC2 (Lift &amp; Shift)",0.2,IF(P34="AWS QuickSight",1.5,IF(P34="Power BI",1,0.5))))*8)*(1-'📊 Dashboard'!C12/100)+((10+(D34/100)*0.5)*8)*(1-'📊 Dashboard'!C10/100)+((((D34/100)*0.5+F34*0.5+G34*0.2+H34*0.8+I34*1+J34*3+K34*5+(D34/100)*0.3)*8+(L34*IF(O34="High",2,IF(O34="Medium",1,0.5)))*8+(M34*IF(P34="EC2 (Lift &amp; Shift)",0.2,IF(P34="AWS QuickSight",1.5,IF(P34="Power BI",1,0.5))))*8+(10+(D34/100)*0.5)*8)*0.28)*(1-'📊 Dashboard'!C13/100)+((((D34/100)*0.5+F34*0.5+G34*0.2+H34*0.8+I34*1+J34*3+K34*5+(D34/100)*0.3)*8+(L34*IF(O34="High",2,IF(O34="Medium",1,0.5)))*8+(M34*IF(P34="EC2 (Lift &amp; Shift)",0.2,IF(P34="AWS QuickSight",1.5,IF(P34="Power BI",1,0.5))))*8+(10+(D34/100)*0.5)*8)*0.12)*(1-'📊 Dashboard'!C10/100)</f>
        <v>994.87455999999997</v>
      </c>
      <c r="T34" s="38">
        <f>S34*(1+'📊 Dashboard'!C14/100)</f>
        <v>1144.105744</v>
      </c>
      <c r="U34" s="39">
        <f t="shared" si="2"/>
        <v>73.683199999999999</v>
      </c>
      <c r="V34" s="39">
        <f t="shared" si="3"/>
        <v>690.48</v>
      </c>
      <c r="W34" s="39">
        <f t="shared" si="4"/>
        <v>128</v>
      </c>
      <c r="X34" s="39">
        <f t="shared" si="5"/>
        <v>16</v>
      </c>
      <c r="Y34" s="39">
        <f t="shared" si="6"/>
        <v>96.4</v>
      </c>
      <c r="Z34" s="39">
        <f t="shared" si="7"/>
        <v>257.89120000000003</v>
      </c>
      <c r="AA34" s="39">
        <f t="shared" si="8"/>
        <v>110.52479999999998</v>
      </c>
      <c r="AB34" s="40">
        <f>'✏️ SME Input'!R34</f>
        <v>5</v>
      </c>
      <c r="AC34" s="39">
        <f t="shared" si="9"/>
        <v>3.75</v>
      </c>
      <c r="AD34" s="39">
        <f t="shared" si="10"/>
        <v>3.75</v>
      </c>
      <c r="AE34" s="39">
        <f t="shared" si="11"/>
        <v>3.75</v>
      </c>
      <c r="AF34" s="39">
        <f t="shared" si="12"/>
        <v>11.25</v>
      </c>
      <c r="AG34" s="39">
        <f t="shared" si="13"/>
        <v>272.25600000000003</v>
      </c>
      <c r="AH34" s="39">
        <f t="shared" si="14"/>
        <v>272.25600000000003</v>
      </c>
      <c r="AI34" s="39">
        <f t="shared" si="15"/>
        <v>136.12800000000001</v>
      </c>
      <c r="AJ34" s="39">
        <f t="shared" si="16"/>
        <v>64</v>
      </c>
      <c r="AK34" s="39">
        <f t="shared" si="17"/>
        <v>44.8</v>
      </c>
      <c r="AL34" s="39">
        <f t="shared" si="18"/>
        <v>19.2</v>
      </c>
      <c r="AM34" s="38">
        <f t="shared" si="19"/>
        <v>561.80568000000005</v>
      </c>
      <c r="AN34" s="41">
        <f t="shared" si="20"/>
        <v>542.60568000000012</v>
      </c>
      <c r="AO34" s="42">
        <f t="shared" si="21"/>
        <v>269.97784000000001</v>
      </c>
      <c r="AP34" s="40">
        <f>'✏️ SME Input'!S34</f>
        <v>5</v>
      </c>
      <c r="AQ34" s="40">
        <f>'✏️ SME Input'!T34</f>
        <v>0</v>
      </c>
      <c r="AR34" s="43" t="str">
        <f>'✏️ SME Input'!U34</f>
        <v>Transactional</v>
      </c>
    </row>
    <row r="35" spans="2:44" ht="18" customHeight="1" x14ac:dyDescent="0.3">
      <c r="B35" s="44" t="str">
        <f>'✏️ SME Input'!B35</f>
        <v>Reporting Hub</v>
      </c>
      <c r="C35" s="34" t="str">
        <f t="shared" si="0"/>
        <v>T2 Moderate</v>
      </c>
      <c r="D35" s="35">
        <f>'✏️ SME Input'!D35</f>
        <v>680</v>
      </c>
      <c r="E35" s="35">
        <f>'✏️ SME Input'!E35</f>
        <v>160</v>
      </c>
      <c r="F35" s="35">
        <f>'✏️ SME Input'!F35</f>
        <v>55</v>
      </c>
      <c r="G35" s="35">
        <f>'✏️ SME Input'!G35</f>
        <v>85</v>
      </c>
      <c r="H35" s="35">
        <f>'✏️ SME Input'!H35</f>
        <v>6</v>
      </c>
      <c r="I35" s="35">
        <f>'✏️ SME Input'!I35</f>
        <v>10</v>
      </c>
      <c r="J35" s="35">
        <f>'✏️ SME Input'!J35</f>
        <v>2</v>
      </c>
      <c r="K35" s="35">
        <f>'✏️ SME Input'!K35</f>
        <v>0</v>
      </c>
      <c r="L35" s="35">
        <f>'✏️ SME Input'!L35</f>
        <v>8</v>
      </c>
      <c r="M35" s="35">
        <f>'✏️ SME Input'!M35</f>
        <v>75</v>
      </c>
      <c r="N35" s="21">
        <f>'✏️ SME Input'!N35</f>
        <v>0</v>
      </c>
      <c r="O35" s="36" t="str">
        <f>'✏️ SME Input'!O35</f>
        <v>High</v>
      </c>
      <c r="P35" s="36" t="str">
        <f>'✏️ SME Input'!P35</f>
        <v>Power BI</v>
      </c>
      <c r="Q35" s="36" t="str">
        <f>'✏️ SME Input'!C35</f>
        <v>Wave 4</v>
      </c>
      <c r="R35" s="37">
        <f t="shared" si="1"/>
        <v>2089.9776000000002</v>
      </c>
      <c r="S35" s="37">
        <f>((((D35/100)*0.5+F35*0.5+G35*0.2+H35*0.8+I35*1+J35*3+K35*5+(D35/100)*0.3)*8+(L35*IF(O35="High",2,IF(O35="Medium",1,0.5)))*8+(M35*IF(P35="EC2 (Lift &amp; Shift)",0.2,IF(P35="AWS QuickSight",1.5,IF(P35="Power BI",1,0.5))))*8+(10+(D35/100)*0.5)*8)*0.08)*(1-'📊 Dashboard'!C10/100)+((((D35/100)*0.5+F35*0.5+G35*0.2+H35*0.8+I35*1+J35*3+K35*5+(D35/100)*0.3)*8+(D35/100)*0.3*8))*(1-'📊 Dashboard'!C10/100)+((L35*IF(O35="High",2,IF(O35="Medium",1,0.5)))*8)*(1-'📊 Dashboard'!C11/100)+((M35*IF(P35="EC2 (Lift &amp; Shift)",0.2,IF(P35="AWS QuickSight",1.5,IF(P35="Power BI",1,0.5))))*8)*(1-'📊 Dashboard'!C12/100)+((10+(D35/100)*0.5)*8)*(1-'📊 Dashboard'!C10/100)+((((D35/100)*0.5+F35*0.5+G35*0.2+H35*0.8+I35*1+J35*3+K35*5+(D35/100)*0.3)*8+(L35*IF(O35="High",2,IF(O35="Medium",1,0.5)))*8+(M35*IF(P35="EC2 (Lift &amp; Shift)",0.2,IF(P35="AWS QuickSight",1.5,IF(P35="Power BI",1,0.5))))*8+(10+(D35/100)*0.5)*8)*0.28)*(1-'📊 Dashboard'!C13/100)+((((D35/100)*0.5+F35*0.5+G35*0.2+H35*0.8+I35*1+J35*3+K35*5+(D35/100)*0.3)*8+(L35*IF(O35="High",2,IF(O35="Medium",1,0.5)))*8+(M35*IF(P35="EC2 (Lift &amp; Shift)",0.2,IF(P35="AWS QuickSight",1.5,IF(P35="Power BI",1,0.5))))*8+(10+(D35/100)*0.5)*8)*0.12)*(1-'📊 Dashboard'!C10/100)</f>
        <v>1568.6156800000001</v>
      </c>
      <c r="T35" s="38">
        <f>S35*(1+'📊 Dashboard'!C14/100)</f>
        <v>1803.908032</v>
      </c>
      <c r="U35" s="45">
        <f t="shared" si="2"/>
        <v>112.08960000000002</v>
      </c>
      <c r="V35" s="45">
        <f t="shared" si="3"/>
        <v>582.24000000000012</v>
      </c>
      <c r="W35" s="45">
        <f t="shared" si="4"/>
        <v>128</v>
      </c>
      <c r="X35" s="45">
        <f t="shared" si="5"/>
        <v>600</v>
      </c>
      <c r="Y35" s="45">
        <f t="shared" si="6"/>
        <v>107.2</v>
      </c>
      <c r="Z35" s="45">
        <f t="shared" si="7"/>
        <v>392.31360000000006</v>
      </c>
      <c r="AA35" s="45">
        <f t="shared" si="8"/>
        <v>168.1344</v>
      </c>
      <c r="AB35" s="40">
        <f>'✏️ SME Input'!R35</f>
        <v>0</v>
      </c>
      <c r="AC35" s="45">
        <f t="shared" si="9"/>
        <v>0</v>
      </c>
      <c r="AD35" s="45">
        <f t="shared" si="10"/>
        <v>0</v>
      </c>
      <c r="AE35" s="45">
        <f t="shared" si="11"/>
        <v>0</v>
      </c>
      <c r="AF35" s="45">
        <f t="shared" si="12"/>
        <v>0</v>
      </c>
      <c r="AG35" s="45">
        <f t="shared" si="13"/>
        <v>226.36800000000005</v>
      </c>
      <c r="AH35" s="45">
        <f t="shared" si="14"/>
        <v>226.36800000000005</v>
      </c>
      <c r="AI35" s="45">
        <f t="shared" si="15"/>
        <v>113.18400000000003</v>
      </c>
      <c r="AJ35" s="45">
        <f t="shared" si="16"/>
        <v>64</v>
      </c>
      <c r="AK35" s="45">
        <f t="shared" si="17"/>
        <v>44.8</v>
      </c>
      <c r="AL35" s="45">
        <f t="shared" si="18"/>
        <v>19.2</v>
      </c>
      <c r="AM35" s="38">
        <f t="shared" si="19"/>
        <v>842.26304000000005</v>
      </c>
      <c r="AN35" s="41">
        <f t="shared" si="20"/>
        <v>823.06304000000023</v>
      </c>
      <c r="AO35" s="42">
        <f t="shared" si="21"/>
        <v>408.33152000000007</v>
      </c>
      <c r="AP35" s="46">
        <f>'✏️ SME Input'!S35</f>
        <v>0</v>
      </c>
      <c r="AQ35" s="46">
        <f>'✏️ SME Input'!T35</f>
        <v>0</v>
      </c>
      <c r="AR35" s="47" t="str">
        <f>'✏️ SME Input'!U35</f>
        <v>None</v>
      </c>
    </row>
    <row r="36" spans="2:44" ht="18" customHeight="1" x14ac:dyDescent="0.3">
      <c r="B36" s="33" t="str">
        <f>'✏️ SME Input'!B36</f>
        <v>MDM Master Data DB</v>
      </c>
      <c r="C36" s="34" t="str">
        <f t="shared" si="0"/>
        <v>T2 Moderate</v>
      </c>
      <c r="D36" s="35">
        <f>'✏️ SME Input'!D36</f>
        <v>520</v>
      </c>
      <c r="E36" s="35">
        <f>'✏️ SME Input'!E36</f>
        <v>140</v>
      </c>
      <c r="F36" s="35">
        <f>'✏️ SME Input'!F36</f>
        <v>98</v>
      </c>
      <c r="G36" s="35">
        <f>'✏️ SME Input'!G36</f>
        <v>52</v>
      </c>
      <c r="H36" s="35">
        <f>'✏️ SME Input'!H36</f>
        <v>12</v>
      </c>
      <c r="I36" s="35">
        <f>'✏️ SME Input'!I36</f>
        <v>9</v>
      </c>
      <c r="J36" s="35">
        <f>'✏️ SME Input'!J36</f>
        <v>3</v>
      </c>
      <c r="K36" s="35">
        <f>'✏️ SME Input'!K36</f>
        <v>1</v>
      </c>
      <c r="L36" s="35">
        <f>'✏️ SME Input'!L36</f>
        <v>18</v>
      </c>
      <c r="M36" s="35">
        <f>'✏️ SME Input'!M36</f>
        <v>22</v>
      </c>
      <c r="N36" s="21">
        <f>'✏️ SME Input'!N36</f>
        <v>7</v>
      </c>
      <c r="O36" s="36" t="str">
        <f>'✏️ SME Input'!O36</f>
        <v>High</v>
      </c>
      <c r="P36" s="36" t="str">
        <f>'✏️ SME Input'!P36</f>
        <v>EC2 (Lift &amp; Shift)</v>
      </c>
      <c r="Q36" s="36" t="str">
        <f>'✏️ SME Input'!C36</f>
        <v>Wave 4</v>
      </c>
      <c r="R36" s="37">
        <f t="shared" si="1"/>
        <v>1778.5344000000002</v>
      </c>
      <c r="S36" s="37">
        <f>((((D36/100)*0.5+F36*0.5+G36*0.2+H36*0.8+I36*1+J36*3+K36*5+(D36/100)*0.3)*8+(L36*IF(O36="High",2,IF(O36="Medium",1,0.5)))*8+(M36*IF(P36="EC2 (Lift &amp; Shift)",0.2,IF(P36="AWS QuickSight",1.5,IF(P36="Power BI",1,0.5))))*8+(10+(D36/100)*0.5)*8)*0.08)*(1-'📊 Dashboard'!C10/100)+((((D36/100)*0.5+F36*0.5+G36*0.2+H36*0.8+I36*1+J36*3+K36*5+(D36/100)*0.3)*8+(D36/100)*0.3*8))*(1-'📊 Dashboard'!C10/100)+((L36*IF(O36="High",2,IF(O36="Medium",1,0.5)))*8)*(1-'📊 Dashboard'!C11/100)+((M36*IF(P36="EC2 (Lift &amp; Shift)",0.2,IF(P36="AWS QuickSight",1.5,IF(P36="Power BI",1,0.5))))*8)*(1-'📊 Dashboard'!C12/100)+((10+(D36/100)*0.5)*8)*(1-'📊 Dashboard'!C10/100)+((((D36/100)*0.5+F36*0.5+G36*0.2+H36*0.8+I36*1+J36*3+K36*5+(D36/100)*0.3)*8+(L36*IF(O36="High",2,IF(O36="Medium",1,0.5)))*8+(M36*IF(P36="EC2 (Lift &amp; Shift)",0.2,IF(P36="AWS QuickSight",1.5,IF(P36="Power BI",1,0.5))))*8+(10+(D36/100)*0.5)*8)*0.28)*(1-'📊 Dashboard'!C13/100)+((((D36/100)*0.5+F36*0.5+G36*0.2+H36*0.8+I36*1+J36*3+K36*5+(D36/100)*0.3)*8+(L36*IF(O36="High",2,IF(O36="Medium",1,0.5)))*8+(M36*IF(P36="EC2 (Lift &amp; Shift)",0.2,IF(P36="AWS QuickSight",1.5,IF(P36="Power BI",1,0.5))))*8+(10+(D36/100)*0.5)*8)*0.12)*(1-'📊 Dashboard'!C10/100)</f>
        <v>1296.3059199999998</v>
      </c>
      <c r="T36" s="38">
        <f>S36*(1+'📊 Dashboard'!C14/100)</f>
        <v>1490.7518079999995</v>
      </c>
      <c r="U36" s="39">
        <f t="shared" si="2"/>
        <v>95.462400000000002</v>
      </c>
      <c r="V36" s="39">
        <f t="shared" si="3"/>
        <v>781.76</v>
      </c>
      <c r="W36" s="39">
        <f t="shared" si="4"/>
        <v>288</v>
      </c>
      <c r="X36" s="39">
        <f t="shared" si="5"/>
        <v>35.200000000000003</v>
      </c>
      <c r="Y36" s="39">
        <f t="shared" si="6"/>
        <v>100.8</v>
      </c>
      <c r="Z36" s="39">
        <f t="shared" si="7"/>
        <v>334.11840000000001</v>
      </c>
      <c r="AA36" s="39">
        <f t="shared" si="8"/>
        <v>143.1936</v>
      </c>
      <c r="AB36" s="40">
        <f>'✏️ SME Input'!R36</f>
        <v>7</v>
      </c>
      <c r="AC36" s="39">
        <f t="shared" si="9"/>
        <v>5.25</v>
      </c>
      <c r="AD36" s="39">
        <f t="shared" si="10"/>
        <v>5.25</v>
      </c>
      <c r="AE36" s="39">
        <f t="shared" si="11"/>
        <v>5.25</v>
      </c>
      <c r="AF36" s="39">
        <f t="shared" si="12"/>
        <v>15.75</v>
      </c>
      <c r="AG36" s="39">
        <f t="shared" si="13"/>
        <v>307.71199999999999</v>
      </c>
      <c r="AH36" s="39">
        <f t="shared" si="14"/>
        <v>307.71199999999999</v>
      </c>
      <c r="AI36" s="39">
        <f t="shared" si="15"/>
        <v>153.85599999999999</v>
      </c>
      <c r="AJ36" s="39">
        <f t="shared" si="16"/>
        <v>144</v>
      </c>
      <c r="AK36" s="39">
        <f t="shared" si="17"/>
        <v>100.8</v>
      </c>
      <c r="AL36" s="39">
        <f t="shared" si="18"/>
        <v>43.199999999999996</v>
      </c>
      <c r="AM36" s="38">
        <f t="shared" si="19"/>
        <v>740.47176000000002</v>
      </c>
      <c r="AN36" s="41">
        <f t="shared" si="20"/>
        <v>697.27175999999997</v>
      </c>
      <c r="AO36" s="42">
        <f t="shared" si="21"/>
        <v>344.06088</v>
      </c>
      <c r="AP36" s="40">
        <f>'✏️ SME Input'!S36</f>
        <v>8</v>
      </c>
      <c r="AQ36" s="40">
        <f>'✏️ SME Input'!T36</f>
        <v>1</v>
      </c>
      <c r="AR36" s="43" t="str">
        <f>'✏️ SME Input'!U36</f>
        <v>Transactional</v>
      </c>
    </row>
    <row r="37" spans="2:44" ht="21.75" customHeight="1" x14ac:dyDescent="0.3">
      <c r="B37" s="48" t="s">
        <v>112</v>
      </c>
      <c r="C37" s="25"/>
      <c r="D37" s="49">
        <f t="shared" ref="D37:N37" si="22">SUM(D8:D36)</f>
        <v>13340</v>
      </c>
      <c r="E37" s="49">
        <f t="shared" si="22"/>
        <v>3483</v>
      </c>
      <c r="F37" s="49">
        <f t="shared" si="22"/>
        <v>2207</v>
      </c>
      <c r="G37" s="49">
        <f t="shared" si="22"/>
        <v>1292</v>
      </c>
      <c r="H37" s="49">
        <f t="shared" si="22"/>
        <v>259</v>
      </c>
      <c r="I37" s="49">
        <f t="shared" si="22"/>
        <v>217</v>
      </c>
      <c r="J37" s="49">
        <f t="shared" si="22"/>
        <v>45</v>
      </c>
      <c r="K37" s="49">
        <f t="shared" si="22"/>
        <v>50</v>
      </c>
      <c r="L37" s="49">
        <f t="shared" si="22"/>
        <v>430</v>
      </c>
      <c r="M37" s="49">
        <f t="shared" si="22"/>
        <v>578</v>
      </c>
      <c r="N37" s="24">
        <f t="shared" si="22"/>
        <v>121</v>
      </c>
      <c r="O37" s="25"/>
      <c r="P37" s="25"/>
      <c r="Q37" s="25"/>
      <c r="R37" s="49">
        <f t="shared" ref="R37:AQ37" si="23">SUM(R8:R36)</f>
        <v>43661.900800000003</v>
      </c>
      <c r="S37" s="49">
        <f t="shared" si="23"/>
        <v>31942.789440000004</v>
      </c>
      <c r="T37" s="49">
        <f t="shared" si="23"/>
        <v>36734.207856000001</v>
      </c>
      <c r="U37" s="49">
        <f t="shared" si="23"/>
        <v>2342.7967999999996</v>
      </c>
      <c r="V37" s="49">
        <f t="shared" si="23"/>
        <v>18542.719999999994</v>
      </c>
      <c r="W37" s="49">
        <f t="shared" si="23"/>
        <v>5228</v>
      </c>
      <c r="X37" s="49">
        <f t="shared" si="23"/>
        <v>2980.7999999999997</v>
      </c>
      <c r="Y37" s="49">
        <f t="shared" si="23"/>
        <v>2853.6</v>
      </c>
      <c r="Z37" s="49">
        <f t="shared" si="23"/>
        <v>8199.7888000000021</v>
      </c>
      <c r="AA37" s="49">
        <f t="shared" si="23"/>
        <v>3514.1952000000006</v>
      </c>
      <c r="AB37" s="49">
        <f t="shared" si="23"/>
        <v>121</v>
      </c>
      <c r="AC37" s="49">
        <f t="shared" si="23"/>
        <v>90.75</v>
      </c>
      <c r="AD37" s="49">
        <f t="shared" si="23"/>
        <v>90.75</v>
      </c>
      <c r="AE37" s="49">
        <f t="shared" si="23"/>
        <v>90.75</v>
      </c>
      <c r="AF37" s="49">
        <f t="shared" si="23"/>
        <v>272.25</v>
      </c>
      <c r="AG37" s="49">
        <f t="shared" si="23"/>
        <v>7289.0239999999994</v>
      </c>
      <c r="AH37" s="49">
        <f t="shared" si="23"/>
        <v>7289.0239999999994</v>
      </c>
      <c r="AI37" s="49">
        <f t="shared" si="23"/>
        <v>3644.5119999999997</v>
      </c>
      <c r="AJ37" s="49">
        <f t="shared" si="23"/>
        <v>2614</v>
      </c>
      <c r="AK37" s="49">
        <f t="shared" si="23"/>
        <v>1829.7999999999997</v>
      </c>
      <c r="AL37" s="49">
        <f t="shared" si="23"/>
        <v>784.2</v>
      </c>
      <c r="AM37" s="49">
        <f t="shared" si="23"/>
        <v>17950.246319999998</v>
      </c>
      <c r="AN37" s="49">
        <f t="shared" si="23"/>
        <v>17166.046320000001</v>
      </c>
      <c r="AO37" s="49">
        <f t="shared" si="23"/>
        <v>8497.6981599999999</v>
      </c>
      <c r="AP37" s="24">
        <f t="shared" si="23"/>
        <v>122</v>
      </c>
      <c r="AQ37" s="24">
        <f t="shared" si="23"/>
        <v>8</v>
      </c>
      <c r="AR37" s="25"/>
    </row>
  </sheetData>
  <mergeCells count="10">
    <mergeCell ref="AB5:AF5"/>
    <mergeCell ref="AG5:AL5"/>
    <mergeCell ref="AM5:AO5"/>
    <mergeCell ref="B1:AA3"/>
    <mergeCell ref="B4:AA4"/>
    <mergeCell ref="B5:C5"/>
    <mergeCell ref="D5:H5"/>
    <mergeCell ref="I5:N5"/>
    <mergeCell ref="O5:Q5"/>
    <mergeCell ref="R5:T5"/>
  </mergeCells>
  <dataValidations count="1">
    <dataValidation type="list" allowBlank="1" sqref="Q8:Q36" xr:uid="{00000000-0002-0000-0100-000000000000}">
      <formula1>"Wave 1,Wave 2,Wave 3,Wave 4,Wave 5,Wave 6"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I47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8.6640625" defaultRowHeight="14.4" x14ac:dyDescent="0.3"/>
  <cols>
    <col min="1" max="1" width="3" customWidth="1"/>
    <col min="2" max="2" width="26" customWidth="1"/>
    <col min="3" max="8" width="17" customWidth="1"/>
    <col min="9" max="9" width="3" customWidth="1"/>
  </cols>
  <sheetData>
    <row r="1" spans="1:9" ht="15" customHeight="1" x14ac:dyDescent="0.3">
      <c r="A1" s="15"/>
      <c r="B1" s="14"/>
      <c r="C1" s="14"/>
      <c r="D1" s="14"/>
      <c r="E1" s="14"/>
      <c r="F1" s="14"/>
      <c r="G1" s="14"/>
      <c r="H1" s="14"/>
      <c r="I1" s="15"/>
    </row>
    <row r="2" spans="1:9" ht="30" customHeight="1" x14ac:dyDescent="0.3">
      <c r="A2" s="15"/>
      <c r="B2" s="14"/>
      <c r="C2" s="14"/>
      <c r="D2" s="14"/>
      <c r="E2" s="14"/>
      <c r="F2" s="14"/>
      <c r="G2" s="14"/>
      <c r="H2" s="14"/>
      <c r="I2" s="15"/>
    </row>
    <row r="3" spans="1:9" ht="15" customHeight="1" x14ac:dyDescent="0.3">
      <c r="A3" s="15"/>
      <c r="B3" s="14"/>
      <c r="C3" s="14"/>
      <c r="D3" s="14"/>
      <c r="E3" s="14"/>
      <c r="F3" s="14"/>
      <c r="G3" s="14"/>
      <c r="H3" s="14"/>
      <c r="I3" s="15"/>
    </row>
    <row r="4" spans="1:9" ht="15" customHeight="1" x14ac:dyDescent="0.3">
      <c r="A4" s="15"/>
      <c r="B4" s="14"/>
      <c r="C4" s="14"/>
      <c r="D4" s="14"/>
      <c r="E4" s="14"/>
      <c r="F4" s="14"/>
      <c r="G4" s="14"/>
      <c r="H4" s="14"/>
      <c r="I4" s="15"/>
    </row>
    <row r="5" spans="1:9" ht="18" customHeight="1" x14ac:dyDescent="0.3">
      <c r="A5" s="50"/>
      <c r="B5" s="7" t="s">
        <v>113</v>
      </c>
      <c r="C5" s="7"/>
      <c r="D5" s="7"/>
      <c r="E5" s="7"/>
      <c r="F5" s="7"/>
      <c r="G5" s="7"/>
      <c r="H5" s="7"/>
      <c r="I5" s="50"/>
    </row>
    <row r="7" spans="1:9" ht="19.5" customHeight="1" x14ac:dyDescent="0.3">
      <c r="B7" s="6" t="s">
        <v>114</v>
      </c>
      <c r="C7" s="6"/>
      <c r="D7" s="6"/>
      <c r="E7" s="6"/>
      <c r="F7" s="6"/>
      <c r="G7" s="6"/>
      <c r="H7" s="6"/>
    </row>
    <row r="8" spans="1:9" ht="18" customHeight="1" x14ac:dyDescent="0.3">
      <c r="B8" s="51" t="s">
        <v>115</v>
      </c>
      <c r="C8" s="52">
        <v>8</v>
      </c>
    </row>
    <row r="9" spans="1:9" ht="18" customHeight="1" x14ac:dyDescent="0.3">
      <c r="B9" s="51" t="s">
        <v>116</v>
      </c>
      <c r="C9" s="52">
        <v>9</v>
      </c>
    </row>
    <row r="10" spans="1:9" ht="18" customHeight="1" x14ac:dyDescent="0.3">
      <c r="B10" s="51" t="s">
        <v>117</v>
      </c>
      <c r="C10" s="53">
        <v>30</v>
      </c>
    </row>
    <row r="11" spans="1:9" ht="18" customHeight="1" x14ac:dyDescent="0.3">
      <c r="B11" s="51" t="s">
        <v>118</v>
      </c>
      <c r="C11" s="53">
        <v>25</v>
      </c>
    </row>
    <row r="12" spans="1:9" ht="18" customHeight="1" x14ac:dyDescent="0.3">
      <c r="B12" s="51" t="s">
        <v>119</v>
      </c>
      <c r="C12" s="53">
        <v>20</v>
      </c>
    </row>
    <row r="13" spans="1:9" ht="18" customHeight="1" x14ac:dyDescent="0.3">
      <c r="B13" s="51" t="s">
        <v>120</v>
      </c>
      <c r="C13" s="53">
        <v>20</v>
      </c>
    </row>
    <row r="14" spans="1:9" ht="18" customHeight="1" x14ac:dyDescent="0.3">
      <c r="B14" s="51" t="s">
        <v>121</v>
      </c>
      <c r="C14" s="53">
        <v>15</v>
      </c>
    </row>
    <row r="15" spans="1:9" ht="18" customHeight="1" x14ac:dyDescent="0.3">
      <c r="B15" s="51" t="s">
        <v>122</v>
      </c>
      <c r="C15" s="54">
        <v>4</v>
      </c>
    </row>
    <row r="17" spans="2:8" ht="19.5" customHeight="1" x14ac:dyDescent="0.3">
      <c r="B17" s="5" t="s">
        <v>123</v>
      </c>
      <c r="C17" s="5"/>
      <c r="D17" s="5"/>
      <c r="E17" s="5"/>
      <c r="F17" s="5"/>
      <c r="G17" s="5"/>
      <c r="H17" s="5"/>
    </row>
    <row r="18" spans="2:8" ht="27.75" customHeight="1" x14ac:dyDescent="0.3">
      <c r="B18" s="55" t="s">
        <v>124</v>
      </c>
      <c r="C18" s="55" t="s">
        <v>125</v>
      </c>
      <c r="D18" s="55" t="s">
        <v>126</v>
      </c>
      <c r="E18" s="55" t="s">
        <v>127</v>
      </c>
      <c r="F18" s="55" t="s">
        <v>128</v>
      </c>
      <c r="G18" s="55" t="s">
        <v>129</v>
      </c>
      <c r="H18" s="55" t="s">
        <v>130</v>
      </c>
    </row>
    <row r="19" spans="2:8" ht="39.75" customHeight="1" x14ac:dyDescent="0.3">
      <c r="B19" s="56">
        <f>COUNTA('📋 App Effort Detail'!B8:B36)</f>
        <v>29</v>
      </c>
      <c r="C19" s="56">
        <f>SUM('📋 App Effort Detail'!D8:D36)</f>
        <v>13340</v>
      </c>
      <c r="D19" s="56">
        <f>SUM('📋 App Effort Detail'!R8:R36)</f>
        <v>43661.900800000003</v>
      </c>
      <c r="E19" s="56">
        <f>SUM('📋 App Effort Detail'!S8:S36)</f>
        <v>31942.789440000004</v>
      </c>
      <c r="F19" s="56">
        <f>SUM('📋 App Effort Detail'!T8:T36)</f>
        <v>36734.207856000001</v>
      </c>
      <c r="G19" s="56">
        <f>IFERROR(SUM('📋 App Effort Detail'!T8:T36)/(C9*C8*20),0)</f>
        <v>25.509866566666666</v>
      </c>
      <c r="H19" s="56">
        <f>IFERROR(SUM('📋 App Effort Detail'!T8:T36)/C8,0)</f>
        <v>4591.7759820000001</v>
      </c>
    </row>
    <row r="21" spans="2:8" ht="19.5" customHeight="1" x14ac:dyDescent="0.3">
      <c r="B21" s="6" t="s">
        <v>131</v>
      </c>
      <c r="C21" s="6"/>
      <c r="D21" s="6"/>
      <c r="E21" s="6"/>
      <c r="F21" s="6"/>
      <c r="G21" s="6"/>
      <c r="H21" s="6"/>
    </row>
    <row r="22" spans="2:8" ht="19.5" customHeight="1" x14ac:dyDescent="0.3">
      <c r="B22" s="16" t="s">
        <v>132</v>
      </c>
      <c r="C22" s="16" t="s">
        <v>126</v>
      </c>
      <c r="D22" s="16" t="s">
        <v>133</v>
      </c>
      <c r="E22" s="16" t="s">
        <v>127</v>
      </c>
      <c r="F22" s="16" t="s">
        <v>134</v>
      </c>
      <c r="G22" s="16" t="s">
        <v>129</v>
      </c>
      <c r="H22" s="16" t="s">
        <v>135</v>
      </c>
    </row>
    <row r="23" spans="2:8" ht="18" customHeight="1" x14ac:dyDescent="0.3">
      <c r="B23" s="57" t="s">
        <v>136</v>
      </c>
      <c r="C23" s="58">
        <f>SUM('📋 App Effort Detail'!U8:U36)</f>
        <v>2342.7967999999996</v>
      </c>
      <c r="D23" s="59">
        <f>C10</f>
        <v>30</v>
      </c>
      <c r="E23" s="58">
        <f t="shared" ref="E23:E29" si="0">C23*(1-D23/100)</f>
        <v>1639.9577599999996</v>
      </c>
      <c r="F23" s="60">
        <f>E23*(1+C14/100)</f>
        <v>1885.9514239999994</v>
      </c>
      <c r="G23" s="61">
        <f>IFERROR(F23/(C9*C8*20),0)</f>
        <v>1.3096884888888884</v>
      </c>
      <c r="H23" s="62">
        <f>IFERROR(F23/SUM(F23:F29),0)</f>
        <v>5.1340468028956199E-2</v>
      </c>
    </row>
    <row r="24" spans="2:8" ht="18" customHeight="1" x14ac:dyDescent="0.3">
      <c r="B24" s="63" t="s">
        <v>137</v>
      </c>
      <c r="C24" s="64">
        <f>SUM('📋 App Effort Detail'!V8:V36)</f>
        <v>18542.719999999994</v>
      </c>
      <c r="D24" s="59">
        <f>C10</f>
        <v>30</v>
      </c>
      <c r="E24" s="64">
        <f t="shared" si="0"/>
        <v>12979.903999999995</v>
      </c>
      <c r="F24" s="60">
        <f>E24*(1+C14/100)</f>
        <v>14926.889599999993</v>
      </c>
      <c r="G24" s="65">
        <f>IFERROR(F24/(C9*C8*20),0)</f>
        <v>10.36589555555555</v>
      </c>
      <c r="H24" s="66">
        <f>IFERROR(F24/SUM(F23:F29),0)</f>
        <v>0.40634848200658574</v>
      </c>
    </row>
    <row r="25" spans="2:8" ht="18" customHeight="1" x14ac:dyDescent="0.3">
      <c r="B25" s="57" t="s">
        <v>138</v>
      </c>
      <c r="C25" s="58">
        <f>SUM('📋 App Effort Detail'!W8:W36)</f>
        <v>5228</v>
      </c>
      <c r="D25" s="59">
        <f>C11</f>
        <v>25</v>
      </c>
      <c r="E25" s="58">
        <f t="shared" si="0"/>
        <v>3921</v>
      </c>
      <c r="F25" s="60">
        <f>E25*(1+C14/100)</f>
        <v>4509.1499999999996</v>
      </c>
      <c r="G25" s="61">
        <f>IFERROR(F25/(C9*C8*20),0)</f>
        <v>3.1313541666666662</v>
      </c>
      <c r="H25" s="62">
        <f>IFERROR(F25/SUM(F23:F29),0)</f>
        <v>0.12275070739720596</v>
      </c>
    </row>
    <row r="26" spans="2:8" ht="18" customHeight="1" x14ac:dyDescent="0.3">
      <c r="B26" s="63" t="s">
        <v>139</v>
      </c>
      <c r="C26" s="64">
        <f>SUM('📋 App Effort Detail'!X8:X36)</f>
        <v>2980.7999999999997</v>
      </c>
      <c r="D26" s="59">
        <f>C12</f>
        <v>20</v>
      </c>
      <c r="E26" s="64">
        <f t="shared" si="0"/>
        <v>2384.64</v>
      </c>
      <c r="F26" s="60">
        <f>E26*(1+C14/100)</f>
        <v>2742.3359999999998</v>
      </c>
      <c r="G26" s="65">
        <f>IFERROR(F26/(C9*C8*20),0)</f>
        <v>1.9043999999999999</v>
      </c>
      <c r="H26" s="66">
        <f>IFERROR(F26/SUM(F23:F29),0)</f>
        <v>7.4653467709174498E-2</v>
      </c>
    </row>
    <row r="27" spans="2:8" ht="18" customHeight="1" x14ac:dyDescent="0.3">
      <c r="B27" s="57" t="s">
        <v>140</v>
      </c>
      <c r="C27" s="58">
        <f>SUM('📋 App Effort Detail'!Y8:Y36)</f>
        <v>2853.6</v>
      </c>
      <c r="D27" s="59">
        <f>C10</f>
        <v>30</v>
      </c>
      <c r="E27" s="58">
        <f t="shared" si="0"/>
        <v>1997.5199999999998</v>
      </c>
      <c r="F27" s="60">
        <f>E27*(1+C14/100)</f>
        <v>2297.1479999999997</v>
      </c>
      <c r="G27" s="61">
        <f>IFERROR(F27/(C9*C8*20),0)</f>
        <v>1.5952416666666664</v>
      </c>
      <c r="H27" s="62">
        <f>IFERROR(F27/SUM(F23:F29),0)</f>
        <v>6.2534300698818365E-2</v>
      </c>
    </row>
    <row r="28" spans="2:8" ht="18" customHeight="1" x14ac:dyDescent="0.3">
      <c r="B28" s="63" t="s">
        <v>141</v>
      </c>
      <c r="C28" s="64">
        <f>SUM('📋 App Effort Detail'!Z8:Z36)</f>
        <v>8199.7888000000021</v>
      </c>
      <c r="D28" s="59">
        <f>C13</f>
        <v>20</v>
      </c>
      <c r="E28" s="64">
        <f t="shared" si="0"/>
        <v>6559.8310400000018</v>
      </c>
      <c r="F28" s="60">
        <f>E28*(1+C14/100)</f>
        <v>7543.8056960000013</v>
      </c>
      <c r="G28" s="65">
        <f>IFERROR(F28/(C9*C8*20),0)</f>
        <v>5.2387539555555565</v>
      </c>
      <c r="H28" s="66">
        <f>IFERROR(F28/SUM(F23:F29),0)</f>
        <v>0.20536187211582491</v>
      </c>
    </row>
    <row r="29" spans="2:8" ht="18" customHeight="1" x14ac:dyDescent="0.3">
      <c r="B29" s="57" t="s">
        <v>142</v>
      </c>
      <c r="C29" s="58">
        <f>SUM('📋 App Effort Detail'!AA8:AA36)</f>
        <v>3514.1952000000006</v>
      </c>
      <c r="D29" s="59">
        <f>C10</f>
        <v>30</v>
      </c>
      <c r="E29" s="58">
        <f t="shared" si="0"/>
        <v>2459.9366400000004</v>
      </c>
      <c r="F29" s="60">
        <f>E29*(1+C14/100)</f>
        <v>2828.9271360000002</v>
      </c>
      <c r="G29" s="61">
        <f>IFERROR(F29/(C9*C8*20),0)</f>
        <v>1.9645327333333336</v>
      </c>
      <c r="H29" s="62">
        <f>IFERROR(F29/SUM(F23:F29),0)</f>
        <v>7.701070204343434E-2</v>
      </c>
    </row>
    <row r="30" spans="2:8" ht="19.5" customHeight="1" x14ac:dyDescent="0.3">
      <c r="B30" s="48" t="s">
        <v>143</v>
      </c>
      <c r="C30" s="67">
        <f>SUM(C23:C29)</f>
        <v>43661.900799999996</v>
      </c>
      <c r="D30" s="67"/>
      <c r="E30" s="67">
        <f>SUM(E23:E29)</f>
        <v>31942.789439999993</v>
      </c>
      <c r="F30" s="67">
        <f>SUM(F23:F29)</f>
        <v>36734.207855999994</v>
      </c>
      <c r="G30" s="67">
        <f>SUM(G23:G29)</f>
        <v>25.509866566666659</v>
      </c>
      <c r="H30" s="68">
        <f>SUM(H23:H29)</f>
        <v>1</v>
      </c>
    </row>
    <row r="32" spans="2:8" ht="15" customHeight="1" x14ac:dyDescent="0.3">
      <c r="B32" s="4" t="s">
        <v>144</v>
      </c>
      <c r="C32" s="4"/>
      <c r="D32" s="4"/>
      <c r="E32" s="4"/>
      <c r="F32" s="4"/>
      <c r="G32" s="4"/>
      <c r="H32" s="4"/>
    </row>
    <row r="33" spans="2:8" ht="15.75" customHeight="1" x14ac:dyDescent="0.3">
      <c r="B33" s="3" t="s">
        <v>145</v>
      </c>
      <c r="C33" s="3"/>
      <c r="D33" s="3"/>
      <c r="E33" s="3"/>
      <c r="F33" s="3"/>
      <c r="G33" s="3"/>
      <c r="H33" s="3"/>
    </row>
    <row r="34" spans="2:8" ht="15.75" customHeight="1" x14ac:dyDescent="0.3">
      <c r="B34" s="2" t="s">
        <v>146</v>
      </c>
      <c r="C34" s="2"/>
      <c r="D34" s="2"/>
      <c r="E34" s="2"/>
      <c r="F34" s="2"/>
      <c r="G34" s="2"/>
      <c r="H34" s="2"/>
    </row>
    <row r="35" spans="2:8" ht="15.75" customHeight="1" x14ac:dyDescent="0.3">
      <c r="B35" s="1" t="s">
        <v>147</v>
      </c>
      <c r="C35" s="1"/>
      <c r="D35" s="1"/>
      <c r="E35" s="1"/>
      <c r="F35" s="1"/>
      <c r="G35" s="1"/>
      <c r="H35" s="1"/>
    </row>
    <row r="37" spans="2:8" ht="18" customHeight="1" x14ac:dyDescent="0.3">
      <c r="B37" s="69" t="s">
        <v>148</v>
      </c>
      <c r="C37" s="70"/>
      <c r="D37" s="70"/>
      <c r="E37" s="70"/>
      <c r="F37" s="70"/>
      <c r="G37" s="70"/>
      <c r="H37" s="70"/>
    </row>
    <row r="38" spans="2:8" ht="21.75" customHeight="1" x14ac:dyDescent="0.3">
      <c r="B38" s="16" t="s">
        <v>149</v>
      </c>
      <c r="C38" s="16" t="s">
        <v>150</v>
      </c>
      <c r="D38" s="16" t="s">
        <v>151</v>
      </c>
      <c r="E38" s="16" t="s">
        <v>152</v>
      </c>
      <c r="F38" s="16" t="s">
        <v>153</v>
      </c>
    </row>
    <row r="39" spans="2:8" ht="36" customHeight="1" x14ac:dyDescent="0.3">
      <c r="B39" s="71">
        <f>SUM('📋 App Effort Detail'!AB8:AB36)</f>
        <v>121</v>
      </c>
      <c r="C39" s="71">
        <f>SUM('📋 App Effort Detail'!AC8:AC36)</f>
        <v>90.75</v>
      </c>
      <c r="D39" s="71">
        <f>SUM('📋 App Effort Detail'!AD8:AD36)</f>
        <v>90.75</v>
      </c>
      <c r="E39" s="71">
        <f>SUM('📋 App Effort Detail'!AE8:AE36)</f>
        <v>90.75</v>
      </c>
      <c r="F39" s="71">
        <f>SUM('📋 App Effort Detail'!AF8:AF36)</f>
        <v>272.25</v>
      </c>
    </row>
    <row r="41" spans="2:8" ht="18" customHeight="1" x14ac:dyDescent="0.3">
      <c r="B41" s="72" t="s">
        <v>154</v>
      </c>
      <c r="C41" s="25"/>
      <c r="D41" s="25"/>
      <c r="E41" s="25"/>
      <c r="F41" s="25"/>
      <c r="G41" s="25"/>
      <c r="H41" s="25"/>
    </row>
    <row r="42" spans="2:8" ht="25.5" customHeight="1" x14ac:dyDescent="0.3">
      <c r="B42" s="73" t="s">
        <v>155</v>
      </c>
      <c r="C42" s="74" t="s">
        <v>156</v>
      </c>
      <c r="D42" s="75" t="s">
        <v>157</v>
      </c>
      <c r="E42" s="23" t="s">
        <v>158</v>
      </c>
    </row>
    <row r="43" spans="2:8" ht="43.5" customHeight="1" x14ac:dyDescent="0.3">
      <c r="B43" s="76">
        <f>SUM('📋 App Effort Detail'!AM8:AM36)</f>
        <v>17950.246319999998</v>
      </c>
      <c r="C43" s="77">
        <f>SUM('📋 App Effort Detail'!AN8:AN36)</f>
        <v>17166.046320000001</v>
      </c>
      <c r="D43" s="78">
        <f>SUM('📋 App Effort Detail'!AO8:AO36)</f>
        <v>8497.6981599999999</v>
      </c>
      <c r="E43" s="79">
        <f>SUM('📋 App Effort Detail'!AM8:AM36)+SUM('📋 App Effort Detail'!AN8:AN36)+SUM('📋 App Effort Detail'!AO8:AO36)</f>
        <v>43613.9908</v>
      </c>
    </row>
    <row r="45" spans="2:8" ht="18" customHeight="1" x14ac:dyDescent="0.3">
      <c r="B45" s="80" t="s">
        <v>159</v>
      </c>
      <c r="C45" s="81"/>
      <c r="D45" s="81"/>
      <c r="E45" s="81"/>
      <c r="F45" s="81"/>
      <c r="G45" s="81"/>
      <c r="H45" s="81"/>
    </row>
    <row r="46" spans="2:8" ht="21.75" customHeight="1" x14ac:dyDescent="0.3">
      <c r="B46" s="16" t="s">
        <v>160</v>
      </c>
      <c r="C46" s="16" t="s">
        <v>161</v>
      </c>
      <c r="D46" s="16" t="s">
        <v>162</v>
      </c>
      <c r="E46" s="16" t="s">
        <v>29</v>
      </c>
      <c r="F46" s="16" t="s">
        <v>163</v>
      </c>
      <c r="G46" s="16" t="s">
        <v>35</v>
      </c>
    </row>
    <row r="47" spans="2:8" ht="36" customHeight="1" x14ac:dyDescent="0.3">
      <c r="B47" s="82">
        <f>COUNTIF('✏️ SME Input'!U8:U36,"&lt;&gt;None")-COUNTIF('✏️ SME Input'!U8:U36,"")</f>
        <v>16</v>
      </c>
      <c r="C47" s="82">
        <f>SUM('✏️ SME Input'!S8:S36)</f>
        <v>122</v>
      </c>
      <c r="D47" s="82">
        <f>SUM('✏️ SME Input'!T8:T36)</f>
        <v>8</v>
      </c>
      <c r="E47" s="82">
        <f>COUNTIF('✏️ SME Input'!U8:U36,"Transactional")</f>
        <v>14</v>
      </c>
      <c r="F47" s="82">
        <f>COUNTIF('✏️ SME Input'!U8:U36,"Merge")+COUNTIF('✏️ SME Input'!U8:U36,"Snapshot")+COUNTIF('✏️ SME Input'!U8:U36,"Mixed")</f>
        <v>2</v>
      </c>
      <c r="G47" s="82">
        <f>COUNTIF('✏️ SME Input'!U8:U36,"None")</f>
        <v>13</v>
      </c>
    </row>
  </sheetData>
  <mergeCells count="9">
    <mergeCell ref="B32:H32"/>
    <mergeCell ref="B33:H33"/>
    <mergeCell ref="B34:H34"/>
    <mergeCell ref="B35:H35"/>
    <mergeCell ref="B1:H4"/>
    <mergeCell ref="B5:H5"/>
    <mergeCell ref="B7:H7"/>
    <mergeCell ref="B17:H17"/>
    <mergeCell ref="B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H58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8" customWidth="1"/>
    <col min="3" max="8" width="20" customWidth="1"/>
  </cols>
  <sheetData>
    <row r="1" spans="1:8" ht="15" customHeight="1" x14ac:dyDescent="0.3">
      <c r="A1" s="15"/>
      <c r="B1" s="15"/>
      <c r="C1" s="15"/>
      <c r="D1" s="15"/>
      <c r="E1" s="15"/>
      <c r="F1" s="15"/>
      <c r="G1" s="15"/>
      <c r="H1" s="15"/>
    </row>
    <row r="2" spans="1:8" ht="25.5" customHeight="1" x14ac:dyDescent="0.3">
      <c r="A2" s="15"/>
      <c r="B2" s="83" t="s">
        <v>164</v>
      </c>
      <c r="C2" s="15"/>
      <c r="D2" s="15"/>
      <c r="E2" s="15"/>
      <c r="F2" s="15"/>
      <c r="G2" s="15"/>
      <c r="H2" s="15"/>
    </row>
    <row r="3" spans="1:8" ht="15" customHeight="1" x14ac:dyDescent="0.3">
      <c r="A3" s="15"/>
      <c r="B3" s="15"/>
      <c r="C3" s="15"/>
      <c r="D3" s="15"/>
      <c r="E3" s="15"/>
      <c r="F3" s="15"/>
      <c r="G3" s="15"/>
      <c r="H3" s="15"/>
    </row>
    <row r="5" spans="1:8" ht="24" customHeight="1" x14ac:dyDescent="0.3">
      <c r="B5" s="84" t="s">
        <v>165</v>
      </c>
      <c r="C5" s="114" t="s">
        <v>25</v>
      </c>
      <c r="D5" s="114"/>
      <c r="E5" s="114"/>
      <c r="F5" s="114"/>
      <c r="G5" s="114"/>
      <c r="H5" s="114"/>
    </row>
    <row r="6" spans="1:8" ht="15.75" customHeight="1" x14ac:dyDescent="0.3">
      <c r="B6" s="85" t="s">
        <v>166</v>
      </c>
      <c r="C6" s="115"/>
      <c r="D6" s="115"/>
      <c r="E6" s="115"/>
      <c r="F6" s="115"/>
      <c r="G6" s="115"/>
      <c r="H6" s="115"/>
    </row>
    <row r="7" spans="1:8" ht="13.5" customHeight="1" x14ac:dyDescent="0.3">
      <c r="B7" s="86" t="s">
        <v>167</v>
      </c>
      <c r="C7" s="87">
        <f>MATCH(C5,'📋 App Effort Detail'!B$8:B$36,0)+7</f>
        <v>8</v>
      </c>
    </row>
    <row r="9" spans="1:8" ht="18" customHeight="1" x14ac:dyDescent="0.3">
      <c r="B9" s="116" t="s">
        <v>168</v>
      </c>
      <c r="C9" s="116"/>
      <c r="D9" s="116"/>
      <c r="E9" s="116"/>
      <c r="F9" s="116"/>
      <c r="G9" s="116"/>
      <c r="H9" s="116"/>
    </row>
    <row r="10" spans="1:8" ht="18" customHeight="1" x14ac:dyDescent="0.3">
      <c r="B10" s="57" t="s">
        <v>1</v>
      </c>
      <c r="C10" s="117" t="str">
        <f>IFERROR(INDEX('📋 App Effort Detail'!B:B,C7),0)</f>
        <v>Order Management System</v>
      </c>
      <c r="D10" s="117"/>
      <c r="E10" s="117"/>
      <c r="F10" s="117"/>
      <c r="G10" s="117"/>
      <c r="H10" s="117"/>
    </row>
    <row r="11" spans="1:8" ht="18" customHeight="1" x14ac:dyDescent="0.3">
      <c r="B11" s="88" t="s">
        <v>169</v>
      </c>
      <c r="C11" s="118" t="str">
        <f>IFERROR(INDEX('📋 App Effort Detail'!C:C,C7),0)</f>
        <v>T1 Simple</v>
      </c>
      <c r="D11" s="118"/>
      <c r="E11" s="118"/>
      <c r="F11" s="118"/>
      <c r="G11" s="118"/>
      <c r="H11" s="118"/>
    </row>
    <row r="12" spans="1:8" ht="18" customHeight="1" x14ac:dyDescent="0.3">
      <c r="B12" s="57" t="s">
        <v>3</v>
      </c>
      <c r="C12" s="119">
        <f>IFERROR(INDEX('📋 App Effort Detail'!D:D,C7),0)</f>
        <v>450</v>
      </c>
      <c r="D12" s="119"/>
      <c r="E12" s="119"/>
      <c r="F12" s="119"/>
      <c r="G12" s="119"/>
      <c r="H12" s="119"/>
    </row>
    <row r="13" spans="1:8" ht="18" customHeight="1" x14ac:dyDescent="0.3">
      <c r="B13" s="88" t="s">
        <v>2</v>
      </c>
      <c r="C13" s="118" t="str">
        <f>IFERROR(INDEX('📋 App Effort Detail'!Q:Q,C7),0)</f>
        <v>Wave 2</v>
      </c>
      <c r="D13" s="118"/>
      <c r="E13" s="118"/>
      <c r="F13" s="118"/>
      <c r="G13" s="118"/>
      <c r="H13" s="118"/>
    </row>
    <row r="14" spans="1:8" ht="18" customHeight="1" x14ac:dyDescent="0.3">
      <c r="B14" s="57" t="s">
        <v>14</v>
      </c>
      <c r="C14" s="117" t="str">
        <f>IFERROR(INDEX('📋 App Effort Detail'!O:O,C7),0)</f>
        <v>High</v>
      </c>
      <c r="D14" s="117"/>
      <c r="E14" s="117"/>
      <c r="F14" s="117"/>
      <c r="G14" s="117"/>
      <c r="H14" s="117"/>
    </row>
    <row r="15" spans="1:8" ht="18" customHeight="1" x14ac:dyDescent="0.3">
      <c r="B15" s="88" t="s">
        <v>15</v>
      </c>
      <c r="C15" s="118" t="str">
        <f>IFERROR(INDEX('📋 App Effort Detail'!P:P,C7),0)</f>
        <v>EC2 (Lift &amp; Shift)</v>
      </c>
      <c r="D15" s="118"/>
      <c r="E15" s="118"/>
      <c r="F15" s="118"/>
      <c r="G15" s="118"/>
      <c r="H15" s="118"/>
    </row>
    <row r="17" spans="2:8" ht="18" customHeight="1" x14ac:dyDescent="0.3">
      <c r="B17" s="120" t="s">
        <v>72</v>
      </c>
      <c r="C17" s="120"/>
      <c r="D17" s="120"/>
      <c r="E17" s="120"/>
      <c r="F17" s="120"/>
      <c r="G17" s="120"/>
      <c r="H17" s="120"/>
    </row>
    <row r="18" spans="2:8" ht="16.5" customHeight="1" x14ac:dyDescent="0.3">
      <c r="B18" s="57" t="s">
        <v>80</v>
      </c>
      <c r="C18" s="121">
        <f>IFERROR(INDEX('📋 App Effort Detail'!E:E,C7),0)</f>
        <v>120</v>
      </c>
      <c r="D18" s="121"/>
      <c r="E18" s="121"/>
      <c r="F18" s="121"/>
      <c r="G18" s="121"/>
      <c r="H18" s="121"/>
    </row>
    <row r="19" spans="2:8" ht="16.5" customHeight="1" x14ac:dyDescent="0.3">
      <c r="B19" s="88" t="s">
        <v>170</v>
      </c>
      <c r="C19" s="122">
        <f>IFERROR(INDEX('📋 App Effort Detail'!F:F,C7),0)</f>
        <v>85</v>
      </c>
      <c r="D19" s="122"/>
      <c r="E19" s="122"/>
      <c r="F19" s="122"/>
      <c r="G19" s="122"/>
      <c r="H19" s="122"/>
    </row>
    <row r="20" spans="2:8" ht="16.5" customHeight="1" x14ac:dyDescent="0.3">
      <c r="B20" s="57" t="s">
        <v>82</v>
      </c>
      <c r="C20" s="121">
        <f>IFERROR(INDEX('📋 App Effort Detail'!G:G,C7),0)</f>
        <v>45</v>
      </c>
      <c r="D20" s="121"/>
      <c r="E20" s="121"/>
      <c r="F20" s="121"/>
      <c r="G20" s="121"/>
      <c r="H20" s="121"/>
    </row>
    <row r="21" spans="2:8" ht="16.5" customHeight="1" x14ac:dyDescent="0.3">
      <c r="B21" s="88" t="s">
        <v>83</v>
      </c>
      <c r="C21" s="122">
        <f>IFERROR(INDEX('📋 App Effort Detail'!H:H,C7),0)</f>
        <v>12</v>
      </c>
      <c r="D21" s="122"/>
      <c r="E21" s="122"/>
      <c r="F21" s="122"/>
      <c r="G21" s="122"/>
      <c r="H21" s="122"/>
    </row>
    <row r="22" spans="2:8" ht="16.5" customHeight="1" x14ac:dyDescent="0.3">
      <c r="B22" s="57" t="s">
        <v>8</v>
      </c>
      <c r="C22" s="121">
        <f>IFERROR(INDEX('📋 App Effort Detail'!I:I,C7),0)</f>
        <v>8</v>
      </c>
      <c r="D22" s="121"/>
      <c r="E22" s="121"/>
      <c r="F22" s="121"/>
      <c r="G22" s="121"/>
      <c r="H22" s="121"/>
    </row>
    <row r="23" spans="2:8" ht="16.5" customHeight="1" x14ac:dyDescent="0.3">
      <c r="B23" s="88" t="s">
        <v>9</v>
      </c>
      <c r="C23" s="122">
        <f>IFERROR(INDEX('📋 App Effort Detail'!J:J,C7),0)</f>
        <v>2</v>
      </c>
      <c r="D23" s="122"/>
      <c r="E23" s="122"/>
      <c r="F23" s="122"/>
      <c r="G23" s="122"/>
      <c r="H23" s="122"/>
    </row>
    <row r="24" spans="2:8" ht="16.5" customHeight="1" x14ac:dyDescent="0.3">
      <c r="B24" s="57" t="s">
        <v>10</v>
      </c>
      <c r="C24" s="121">
        <f>IFERROR(INDEX('📋 App Effort Detail'!K:K,C7),0)</f>
        <v>3</v>
      </c>
      <c r="D24" s="121"/>
      <c r="E24" s="121"/>
      <c r="F24" s="121"/>
      <c r="G24" s="121"/>
      <c r="H24" s="121"/>
    </row>
    <row r="25" spans="2:8" ht="16.5" customHeight="1" x14ac:dyDescent="0.3">
      <c r="B25" s="88" t="s">
        <v>11</v>
      </c>
      <c r="C25" s="122">
        <f>IFERROR(INDEX('📋 App Effort Detail'!L:L,C7),0)</f>
        <v>18</v>
      </c>
      <c r="D25" s="122"/>
      <c r="E25" s="122"/>
      <c r="F25" s="122"/>
      <c r="G25" s="122"/>
      <c r="H25" s="122"/>
    </row>
    <row r="26" spans="2:8" ht="16.5" customHeight="1" x14ac:dyDescent="0.3">
      <c r="B26" s="57" t="s">
        <v>12</v>
      </c>
      <c r="C26" s="121">
        <f>IFERROR(INDEX('📋 App Effort Detail'!M:M,C7),0)</f>
        <v>22</v>
      </c>
      <c r="D26" s="121"/>
      <c r="E26" s="121"/>
      <c r="F26" s="121"/>
      <c r="G26" s="121"/>
      <c r="H26" s="121"/>
    </row>
    <row r="27" spans="2:8" ht="16.5" customHeight="1" x14ac:dyDescent="0.3">
      <c r="B27" s="88" t="s">
        <v>171</v>
      </c>
      <c r="C27" s="122">
        <f>IFERROR(INDEX('📋 App Effort Detail'!N:N,C7),0)</f>
        <v>5</v>
      </c>
      <c r="D27" s="122"/>
      <c r="E27" s="122"/>
      <c r="F27" s="122"/>
      <c r="G27" s="122"/>
      <c r="H27" s="122"/>
    </row>
    <row r="29" spans="2:8" ht="18" customHeight="1" x14ac:dyDescent="0.3">
      <c r="B29" s="123" t="s">
        <v>172</v>
      </c>
      <c r="C29" s="123"/>
      <c r="D29" s="123"/>
      <c r="E29" s="123"/>
      <c r="F29" s="123"/>
      <c r="G29" s="123"/>
      <c r="H29" s="123"/>
    </row>
    <row r="30" spans="2:8" ht="19.5" customHeight="1" x14ac:dyDescent="0.3">
      <c r="B30" s="16" t="s">
        <v>132</v>
      </c>
      <c r="C30" s="16" t="s">
        <v>126</v>
      </c>
      <c r="D30" s="16" t="s">
        <v>133</v>
      </c>
      <c r="E30" s="16" t="s">
        <v>127</v>
      </c>
      <c r="F30" s="16" t="s">
        <v>173</v>
      </c>
    </row>
    <row r="31" spans="2:8" ht="18" customHeight="1" x14ac:dyDescent="0.3">
      <c r="B31" s="57" t="s">
        <v>136</v>
      </c>
      <c r="C31" s="89">
        <f>IFERROR(INDEX('📋 App Effort Detail'!U:U,C7),0)</f>
        <v>93.664000000000001</v>
      </c>
      <c r="D31" s="59">
        <f>'📊 Dashboard'!C10</f>
        <v>30</v>
      </c>
      <c r="E31" s="90">
        <f t="shared" ref="E31:E37" si="0">C31*(1-D31/100)</f>
        <v>65.564799999999991</v>
      </c>
      <c r="F31" s="37">
        <f>E31*(1+'📊 Dashboard'!C14/100)</f>
        <v>75.399519999999981</v>
      </c>
      <c r="G31" s="27"/>
      <c r="H31" s="27"/>
    </row>
    <row r="32" spans="2:8" ht="18" customHeight="1" x14ac:dyDescent="0.3">
      <c r="B32" s="63" t="s">
        <v>174</v>
      </c>
      <c r="C32" s="91">
        <f>IFERROR(INDEX('📋 App Effort Detail'!V:V,C7),0)</f>
        <v>760.39999999999986</v>
      </c>
      <c r="D32" s="59">
        <f>'📊 Dashboard'!C10</f>
        <v>30</v>
      </c>
      <c r="E32" s="90">
        <f t="shared" si="0"/>
        <v>532.27999999999986</v>
      </c>
      <c r="F32" s="37">
        <f>E32*(1+'📊 Dashboard'!C14/100)</f>
        <v>612.12199999999984</v>
      </c>
      <c r="G32" s="27"/>
      <c r="H32" s="27"/>
    </row>
    <row r="33" spans="2:8" ht="18" customHeight="1" x14ac:dyDescent="0.3">
      <c r="B33" s="57" t="s">
        <v>175</v>
      </c>
      <c r="C33" s="89">
        <f>IFERROR(INDEX('📋 App Effort Detail'!W:W,C7),0)</f>
        <v>288</v>
      </c>
      <c r="D33" s="59">
        <f>'📊 Dashboard'!C11</f>
        <v>25</v>
      </c>
      <c r="E33" s="90">
        <f t="shared" si="0"/>
        <v>216</v>
      </c>
      <c r="F33" s="37">
        <f>E33*(1+'📊 Dashboard'!C14/100)</f>
        <v>248.39999999999998</v>
      </c>
      <c r="G33" s="27"/>
      <c r="H33" s="27"/>
    </row>
    <row r="34" spans="2:8" ht="18" customHeight="1" x14ac:dyDescent="0.3">
      <c r="B34" s="63" t="s">
        <v>139</v>
      </c>
      <c r="C34" s="91">
        <f>IFERROR(INDEX('📋 App Effort Detail'!X:X,C7),0)</f>
        <v>35.200000000000003</v>
      </c>
      <c r="D34" s="59">
        <f>'📊 Dashboard'!C12</f>
        <v>20</v>
      </c>
      <c r="E34" s="90">
        <f t="shared" si="0"/>
        <v>28.160000000000004</v>
      </c>
      <c r="F34" s="37">
        <f>E34*(1+'📊 Dashboard'!C14/100)</f>
        <v>32.384</v>
      </c>
      <c r="G34" s="27"/>
      <c r="H34" s="27"/>
    </row>
    <row r="35" spans="2:8" ht="18" customHeight="1" x14ac:dyDescent="0.3">
      <c r="B35" s="57" t="s">
        <v>140</v>
      </c>
      <c r="C35" s="89">
        <f>IFERROR(INDEX('📋 App Effort Detail'!Y:Y,C7),0)</f>
        <v>98</v>
      </c>
      <c r="D35" s="59">
        <f>'📊 Dashboard'!C10</f>
        <v>30</v>
      </c>
      <c r="E35" s="90">
        <f t="shared" si="0"/>
        <v>68.599999999999994</v>
      </c>
      <c r="F35" s="37">
        <f>E35*(1+'📊 Dashboard'!C14/100)</f>
        <v>78.889999999999986</v>
      </c>
      <c r="G35" s="27"/>
      <c r="H35" s="27"/>
    </row>
    <row r="36" spans="2:8" ht="18" customHeight="1" x14ac:dyDescent="0.3">
      <c r="B36" s="63" t="s">
        <v>141</v>
      </c>
      <c r="C36" s="91">
        <f>IFERROR(INDEX('📋 App Effort Detail'!Z:Z,C7),0)</f>
        <v>327.82400000000001</v>
      </c>
      <c r="D36" s="59">
        <f>'📊 Dashboard'!C13</f>
        <v>20</v>
      </c>
      <c r="E36" s="90">
        <f t="shared" si="0"/>
        <v>262.25920000000002</v>
      </c>
      <c r="F36" s="37">
        <f>E36*(1+'📊 Dashboard'!C14/100)</f>
        <v>301.59807999999998</v>
      </c>
      <c r="G36" s="27"/>
      <c r="H36" s="27"/>
    </row>
    <row r="37" spans="2:8" ht="18" customHeight="1" x14ac:dyDescent="0.3">
      <c r="B37" s="57" t="s">
        <v>142</v>
      </c>
      <c r="C37" s="89">
        <f>IFERROR(INDEX('📋 App Effort Detail'!AA:AA,C7),0)</f>
        <v>140.49599999999998</v>
      </c>
      <c r="D37" s="59">
        <f>'📊 Dashboard'!C10</f>
        <v>30</v>
      </c>
      <c r="E37" s="90">
        <f t="shared" si="0"/>
        <v>98.347199999999987</v>
      </c>
      <c r="F37" s="37">
        <f>E37*(1+'📊 Dashboard'!C14/100)</f>
        <v>113.09927999999998</v>
      </c>
      <c r="G37" s="27"/>
      <c r="H37" s="27"/>
    </row>
    <row r="38" spans="2:8" ht="21.75" customHeight="1" x14ac:dyDescent="0.3">
      <c r="B38" s="23" t="s">
        <v>176</v>
      </c>
      <c r="C38" s="92">
        <f>SUM(C31:C37)</f>
        <v>1743.5839999999998</v>
      </c>
      <c r="D38" s="25"/>
      <c r="E38" s="92">
        <f>SUM(E31:E37)</f>
        <v>1271.2111999999997</v>
      </c>
      <c r="F38" s="92">
        <f>SUM(F31:F37)</f>
        <v>1461.8928799999996</v>
      </c>
      <c r="G38" s="25"/>
      <c r="H38" s="25"/>
    </row>
    <row r="40" spans="2:8" ht="18" customHeight="1" x14ac:dyDescent="0.3">
      <c r="B40" s="116" t="s">
        <v>177</v>
      </c>
      <c r="C40" s="116"/>
      <c r="D40" s="116"/>
      <c r="E40" s="116"/>
      <c r="F40" s="116"/>
      <c r="G40" s="116"/>
      <c r="H40" s="116"/>
    </row>
    <row r="41" spans="2:8" ht="21.75" customHeight="1" x14ac:dyDescent="0.3">
      <c r="B41" s="55" t="s">
        <v>126</v>
      </c>
      <c r="C41" s="55" t="s">
        <v>133</v>
      </c>
      <c r="D41" s="55" t="s">
        <v>127</v>
      </c>
      <c r="E41" s="55" t="s">
        <v>134</v>
      </c>
      <c r="F41" s="55" t="s">
        <v>130</v>
      </c>
      <c r="G41" s="55" t="s">
        <v>178</v>
      </c>
    </row>
    <row r="42" spans="2:8" ht="36" customHeight="1" x14ac:dyDescent="0.3">
      <c r="B42" s="71">
        <f>IFERROR(INDEX('📋 App Effort Detail'!R:R,C7),0)</f>
        <v>1743.5839999999998</v>
      </c>
      <c r="C42" s="93">
        <f>IFERROR(1-IFERROR(INDEX('📋 App Effort Detail'!S:S,C7),0)/IFERROR(INDEX('📋 App Effort Detail'!R:R,C7),0),0)</f>
        <v>0.2709205865619323</v>
      </c>
      <c r="D42" s="71">
        <f>IFERROR(INDEX('📋 App Effort Detail'!S:S,C7),0)</f>
        <v>1271.2111999999997</v>
      </c>
      <c r="E42" s="71">
        <f>IFERROR(INDEX('📋 App Effort Detail'!T:T,C7),0)</f>
        <v>1461.8928799999996</v>
      </c>
      <c r="F42" s="71">
        <f>IFERROR(IFERROR(INDEX('📋 App Effort Detail'!T:T,C7),0)/'📊 Dashboard'!C8,0)</f>
        <v>182.73660999999996</v>
      </c>
      <c r="G42" s="94" t="str">
        <f>IFERROR(INDEX('📋 App Effort Detail'!C:C,C7),0)</f>
        <v>T1 Simple</v>
      </c>
    </row>
    <row r="44" spans="2:8" ht="18" customHeight="1" x14ac:dyDescent="0.3">
      <c r="B44" s="69" t="s">
        <v>179</v>
      </c>
      <c r="C44" s="70"/>
      <c r="D44" s="70"/>
      <c r="E44" s="70"/>
      <c r="F44" s="70"/>
      <c r="G44" s="70"/>
      <c r="H44" s="70"/>
    </row>
    <row r="45" spans="2:8" ht="18" customHeight="1" x14ac:dyDescent="0.3">
      <c r="B45" s="16" t="s">
        <v>180</v>
      </c>
      <c r="C45" s="16" t="s">
        <v>150</v>
      </c>
      <c r="D45" s="16" t="s">
        <v>151</v>
      </c>
      <c r="E45" s="16" t="s">
        <v>152</v>
      </c>
      <c r="F45" s="16" t="s">
        <v>181</v>
      </c>
    </row>
    <row r="46" spans="2:8" ht="16.5" customHeight="1" x14ac:dyDescent="0.3">
      <c r="B46" s="57" t="s">
        <v>182</v>
      </c>
      <c r="C46" s="90">
        <f>IFERROR(INDEX('📋 App Effort Detail'!AB:AB,C7),0)</f>
        <v>5</v>
      </c>
      <c r="D46" s="95" t="s">
        <v>183</v>
      </c>
      <c r="E46" s="95" t="s">
        <v>183</v>
      </c>
      <c r="F46" s="95" t="s">
        <v>183</v>
      </c>
    </row>
    <row r="47" spans="2:8" ht="16.5" customHeight="1" x14ac:dyDescent="0.3">
      <c r="B47" s="57" t="s">
        <v>184</v>
      </c>
      <c r="C47" s="90">
        <f>IFERROR(INDEX('📋 App Effort Detail'!AC:AC,C7),0)</f>
        <v>3.75</v>
      </c>
      <c r="D47" s="90">
        <f>IFERROR(INDEX('📋 App Effort Detail'!AD:AD,C7),0)</f>
        <v>3.75</v>
      </c>
      <c r="E47" s="90">
        <f>IFERROR(INDEX('📋 App Effort Detail'!AE:AE,C7),0)</f>
        <v>3.75</v>
      </c>
      <c r="F47" s="90">
        <f>IFERROR(INDEX('📋 App Effort Detail'!AF:AF,C7),0)</f>
        <v>11.25</v>
      </c>
    </row>
    <row r="49" spans="2:8" ht="18" customHeight="1" x14ac:dyDescent="0.3">
      <c r="B49" s="72" t="s">
        <v>185</v>
      </c>
      <c r="C49" s="25"/>
      <c r="D49" s="25"/>
      <c r="E49" s="25"/>
      <c r="F49" s="25"/>
      <c r="G49" s="25"/>
      <c r="H49" s="25"/>
    </row>
    <row r="50" spans="2:8" ht="18" customHeight="1" x14ac:dyDescent="0.3">
      <c r="B50" s="16" t="s">
        <v>186</v>
      </c>
      <c r="C50" s="96" t="s">
        <v>150</v>
      </c>
      <c r="D50" s="55" t="s">
        <v>151</v>
      </c>
      <c r="E50" s="97" t="s">
        <v>152</v>
      </c>
    </row>
    <row r="51" spans="2:8" ht="18" customHeight="1" x14ac:dyDescent="0.3">
      <c r="B51" s="98" t="s">
        <v>187</v>
      </c>
      <c r="C51" s="39">
        <f>IFERROR(INDEX('📋 App Effort Detail'!AG:AG,C7),0)</f>
        <v>299.83999999999997</v>
      </c>
      <c r="D51" s="39">
        <f>IFERROR(INDEX('📋 App Effort Detail'!AH:AH,C7),0)</f>
        <v>299.83999999999997</v>
      </c>
      <c r="E51" s="39">
        <f>IFERROR(INDEX('📋 App Effort Detail'!AI:AI,C7),0)</f>
        <v>149.91999999999999</v>
      </c>
    </row>
    <row r="52" spans="2:8" ht="18" customHeight="1" x14ac:dyDescent="0.3">
      <c r="B52" s="98" t="s">
        <v>188</v>
      </c>
      <c r="C52" s="39">
        <f>IFERROR(INDEX('📋 App Effort Detail'!AJ:AJ,C7),0)</f>
        <v>144</v>
      </c>
      <c r="D52" s="39">
        <f>IFERROR(INDEX('📋 App Effort Detail'!AK:AK,C7),0)</f>
        <v>100.8</v>
      </c>
      <c r="E52" s="39">
        <f>IFERROR(INDEX('📋 App Effort Detail'!AL:AL,C7),0)</f>
        <v>43.199999999999996</v>
      </c>
    </row>
    <row r="53" spans="2:8" ht="18" customHeight="1" x14ac:dyDescent="0.3">
      <c r="B53" s="99" t="s">
        <v>189</v>
      </c>
      <c r="C53" s="41">
        <f>IFERROR(INDEX('📋 App Effort Detail'!AM:AM,C7),0)</f>
        <v>725.66359999999997</v>
      </c>
      <c r="D53" s="38">
        <f>IFERROR(INDEX('📋 App Effort Detail'!AN:AN,C7),0)</f>
        <v>682.46359999999993</v>
      </c>
      <c r="E53" s="42">
        <f>IFERROR(INDEX('📋 App Effort Detail'!AO:AO,C7),0)</f>
        <v>335.90679999999998</v>
      </c>
    </row>
    <row r="55" spans="2:8" ht="18" customHeight="1" x14ac:dyDescent="0.3">
      <c r="B55" s="80" t="s">
        <v>190</v>
      </c>
      <c r="C55" s="81"/>
      <c r="D55" s="81"/>
      <c r="E55" s="81"/>
      <c r="F55" s="81"/>
      <c r="G55" s="81"/>
      <c r="H55" s="81"/>
    </row>
    <row r="56" spans="2:8" ht="16.5" customHeight="1" x14ac:dyDescent="0.3">
      <c r="B56" s="57" t="s">
        <v>191</v>
      </c>
      <c r="C56" s="124" t="str">
        <f>IFERROR(INDEX('✏️ SME Input'!U:U,C7-8+8),"")</f>
        <v>Transactional</v>
      </c>
      <c r="D56" s="124"/>
      <c r="E56" s="124"/>
      <c r="F56" s="124"/>
      <c r="G56" s="124"/>
      <c r="H56" s="124"/>
    </row>
    <row r="57" spans="2:8" ht="16.5" customHeight="1" x14ac:dyDescent="0.3">
      <c r="B57" s="100" t="s">
        <v>192</v>
      </c>
      <c r="C57" s="125">
        <f>IFERROR(INDEX('✏️ SME Input'!S:S,C7-8+8),0)</f>
        <v>8</v>
      </c>
      <c r="D57" s="125"/>
      <c r="E57" s="125"/>
      <c r="F57" s="125"/>
      <c r="G57" s="125"/>
      <c r="H57" s="125"/>
    </row>
    <row r="58" spans="2:8" ht="16.5" customHeight="1" x14ac:dyDescent="0.3">
      <c r="B58" s="57" t="s">
        <v>193</v>
      </c>
      <c r="C58" s="126">
        <f>IFERROR(INDEX('✏️ SME Input'!T:T,C7-8+8),0)</f>
        <v>0</v>
      </c>
      <c r="D58" s="126"/>
      <c r="E58" s="126"/>
      <c r="F58" s="126"/>
      <c r="G58" s="126"/>
      <c r="H58" s="126"/>
    </row>
  </sheetData>
  <mergeCells count="25">
    <mergeCell ref="B29:H29"/>
    <mergeCell ref="B40:H40"/>
    <mergeCell ref="C56:H56"/>
    <mergeCell ref="C57:H57"/>
    <mergeCell ref="C58:H58"/>
    <mergeCell ref="C23:H23"/>
    <mergeCell ref="C24:H24"/>
    <mergeCell ref="C25:H25"/>
    <mergeCell ref="C26:H26"/>
    <mergeCell ref="C27:H27"/>
    <mergeCell ref="C18:H18"/>
    <mergeCell ref="C19:H19"/>
    <mergeCell ref="C20:H20"/>
    <mergeCell ref="C21:H21"/>
    <mergeCell ref="C22:H22"/>
    <mergeCell ref="C12:H12"/>
    <mergeCell ref="C13:H13"/>
    <mergeCell ref="C14:H14"/>
    <mergeCell ref="C15:H15"/>
    <mergeCell ref="B17:H17"/>
    <mergeCell ref="C5:H5"/>
    <mergeCell ref="C6:H6"/>
    <mergeCell ref="B9:H9"/>
    <mergeCell ref="C10:H10"/>
    <mergeCell ref="C11:H11"/>
  </mergeCells>
  <dataValidations count="1">
    <dataValidation type="list" sqref="C5" xr:uid="{00000000-0002-0000-0300-000000000000}">
      <formula1>"Order Management System,Billing Engine,Customer Portal DB,Provisioning System,Revenue Assurance,Fraud Management,Network Inventory DB,CRM Integration DB,Product Catalogue,Mediation Platform,Interconnect Billing,Roaming Settlement,Dunning &amp; Collections,Tax"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5623"/>
  </sheetPr>
  <dimension ref="A1:L55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32" customWidth="1"/>
    <col min="3" max="11" width="13" customWidth="1"/>
  </cols>
  <sheetData>
    <row r="1" spans="1:12" ht="15" customHeight="1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25.5" customHeight="1" x14ac:dyDescent="0.3">
      <c r="A2" s="15"/>
      <c r="B2" s="83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15" customHeight="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1:12" ht="19.5" customHeight="1" x14ac:dyDescent="0.3">
      <c r="B5" s="23" t="s">
        <v>194</v>
      </c>
      <c r="C5" s="23" t="s">
        <v>195</v>
      </c>
      <c r="D5" s="23" t="s">
        <v>196</v>
      </c>
      <c r="E5" s="23" t="s">
        <v>197</v>
      </c>
      <c r="F5" s="23" t="s">
        <v>198</v>
      </c>
      <c r="G5" s="23" t="s">
        <v>199</v>
      </c>
      <c r="H5" s="23" t="s">
        <v>200</v>
      </c>
      <c r="I5" s="23" t="s">
        <v>201</v>
      </c>
      <c r="J5" s="23" t="s">
        <v>202</v>
      </c>
      <c r="K5" s="23" t="s">
        <v>203</v>
      </c>
    </row>
    <row r="6" spans="1:12" ht="18" customHeight="1" x14ac:dyDescent="0.3">
      <c r="B6" s="127" t="s">
        <v>204</v>
      </c>
      <c r="C6" s="127"/>
      <c r="D6" s="127"/>
      <c r="E6" s="127"/>
      <c r="F6" s="127"/>
      <c r="G6" s="127"/>
      <c r="H6" s="127"/>
      <c r="I6" s="127"/>
      <c r="J6" s="127"/>
      <c r="K6" s="127"/>
      <c r="L6" s="127"/>
    </row>
    <row r="7" spans="1:12" ht="15.75" customHeight="1" x14ac:dyDescent="0.3">
      <c r="B7" s="101" t="s">
        <v>205</v>
      </c>
      <c r="C7" s="102" t="s">
        <v>206</v>
      </c>
      <c r="D7" s="102" t="s">
        <v>206</v>
      </c>
      <c r="E7" s="103"/>
      <c r="F7" s="103"/>
      <c r="G7" s="103"/>
      <c r="H7" s="103"/>
      <c r="I7" s="103"/>
      <c r="J7" s="103"/>
      <c r="K7" s="103"/>
    </row>
    <row r="8" spans="1:12" ht="15.75" customHeight="1" x14ac:dyDescent="0.3">
      <c r="B8" s="101" t="s">
        <v>207</v>
      </c>
      <c r="C8" s="102" t="s">
        <v>206</v>
      </c>
      <c r="D8" s="103"/>
      <c r="E8" s="103"/>
      <c r="F8" s="103"/>
      <c r="G8" s="103"/>
      <c r="H8" s="103"/>
      <c r="I8" s="103"/>
      <c r="J8" s="103"/>
      <c r="K8" s="103"/>
    </row>
    <row r="9" spans="1:12" ht="15.75" customHeight="1" x14ac:dyDescent="0.3">
      <c r="B9" s="101" t="s">
        <v>208</v>
      </c>
      <c r="C9" s="102" t="s">
        <v>206</v>
      </c>
      <c r="D9" s="102" t="s">
        <v>206</v>
      </c>
      <c r="E9" s="103"/>
      <c r="F9" s="103"/>
      <c r="G9" s="103"/>
      <c r="H9" s="103"/>
      <c r="I9" s="103"/>
      <c r="J9" s="103"/>
      <c r="K9" s="103"/>
    </row>
    <row r="10" spans="1:12" ht="15.75" customHeight="1" x14ac:dyDescent="0.3">
      <c r="B10" s="101" t="s">
        <v>209</v>
      </c>
      <c r="C10" s="102" t="s">
        <v>206</v>
      </c>
      <c r="D10" s="102" t="s">
        <v>206</v>
      </c>
      <c r="E10" s="103"/>
      <c r="F10" s="103"/>
      <c r="G10" s="103"/>
      <c r="H10" s="103"/>
      <c r="I10" s="103"/>
      <c r="J10" s="103"/>
      <c r="K10" s="103"/>
    </row>
    <row r="11" spans="1:12" ht="15.75" customHeight="1" x14ac:dyDescent="0.3">
      <c r="B11" s="101" t="s">
        <v>210</v>
      </c>
      <c r="C11" s="102" t="s">
        <v>206</v>
      </c>
      <c r="D11" s="102" t="s">
        <v>206</v>
      </c>
      <c r="E11" s="103"/>
      <c r="F11" s="103"/>
      <c r="G11" s="103"/>
      <c r="H11" s="103"/>
      <c r="I11" s="103"/>
      <c r="J11" s="103"/>
      <c r="K11" s="103"/>
    </row>
    <row r="12" spans="1:12" ht="15.75" customHeight="1" x14ac:dyDescent="0.3">
      <c r="B12" s="101" t="s">
        <v>211</v>
      </c>
      <c r="C12" s="102" t="s">
        <v>206</v>
      </c>
      <c r="D12" s="102" t="s">
        <v>206</v>
      </c>
      <c r="E12" s="103"/>
      <c r="F12" s="103"/>
      <c r="G12" s="103"/>
      <c r="H12" s="103"/>
      <c r="I12" s="103"/>
      <c r="J12" s="103"/>
      <c r="K12" s="103"/>
    </row>
    <row r="13" spans="1:12" ht="15.75" customHeight="1" x14ac:dyDescent="0.3">
      <c r="B13" s="101" t="s">
        <v>212</v>
      </c>
      <c r="C13" s="102" t="s">
        <v>206</v>
      </c>
      <c r="D13" s="102" t="s">
        <v>206</v>
      </c>
      <c r="E13" s="103"/>
      <c r="F13" s="103"/>
      <c r="G13" s="103"/>
      <c r="H13" s="103"/>
      <c r="I13" s="103"/>
      <c r="J13" s="103"/>
      <c r="K13" s="103"/>
    </row>
    <row r="14" spans="1:12" ht="4.5" customHeight="1" x14ac:dyDescent="0.3"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</row>
    <row r="15" spans="1:12" ht="18" customHeight="1" x14ac:dyDescent="0.3">
      <c r="B15" s="128" t="s">
        <v>213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</row>
    <row r="16" spans="1:12" ht="15.75" customHeight="1" x14ac:dyDescent="0.3">
      <c r="B16" s="101" t="s">
        <v>214</v>
      </c>
      <c r="C16" s="103"/>
      <c r="D16" s="104" t="s">
        <v>206</v>
      </c>
      <c r="E16" s="104" t="s">
        <v>206</v>
      </c>
      <c r="F16" s="103"/>
      <c r="G16" s="103"/>
      <c r="H16" s="103"/>
      <c r="I16" s="103"/>
      <c r="J16" s="103"/>
      <c r="K16" s="103"/>
    </row>
    <row r="17" spans="2:12" ht="15.75" customHeight="1" x14ac:dyDescent="0.3">
      <c r="B17" s="101" t="s">
        <v>215</v>
      </c>
      <c r="C17" s="103"/>
      <c r="D17" s="104" t="s">
        <v>206</v>
      </c>
      <c r="E17" s="104" t="s">
        <v>206</v>
      </c>
      <c r="F17" s="103"/>
      <c r="G17" s="103"/>
      <c r="H17" s="103"/>
      <c r="I17" s="103"/>
      <c r="J17" s="103"/>
      <c r="K17" s="103"/>
    </row>
    <row r="18" spans="2:12" ht="15.75" customHeight="1" x14ac:dyDescent="0.3">
      <c r="B18" s="101" t="s">
        <v>216</v>
      </c>
      <c r="C18" s="103"/>
      <c r="D18" s="103"/>
      <c r="E18" s="104" t="s">
        <v>206</v>
      </c>
      <c r="F18" s="104" t="s">
        <v>206</v>
      </c>
      <c r="G18" s="103"/>
      <c r="H18" s="103"/>
      <c r="I18" s="103"/>
      <c r="J18" s="103"/>
      <c r="K18" s="103"/>
    </row>
    <row r="19" spans="2:12" ht="15.75" customHeight="1" x14ac:dyDescent="0.3">
      <c r="B19" s="101" t="s">
        <v>217</v>
      </c>
      <c r="C19" s="103"/>
      <c r="D19" s="103"/>
      <c r="E19" s="104" t="s">
        <v>206</v>
      </c>
      <c r="F19" s="104" t="s">
        <v>206</v>
      </c>
      <c r="G19" s="103"/>
      <c r="H19" s="103"/>
      <c r="I19" s="103"/>
      <c r="J19" s="103"/>
      <c r="K19" s="103"/>
    </row>
    <row r="20" spans="2:12" ht="15.75" customHeight="1" x14ac:dyDescent="0.3">
      <c r="B20" s="101" t="s">
        <v>218</v>
      </c>
      <c r="C20" s="103"/>
      <c r="D20" s="103"/>
      <c r="E20" s="103"/>
      <c r="F20" s="104" t="s">
        <v>206</v>
      </c>
      <c r="G20" s="103"/>
      <c r="H20" s="103"/>
      <c r="I20" s="103"/>
      <c r="J20" s="103"/>
      <c r="K20" s="103"/>
    </row>
    <row r="21" spans="2:12" ht="15.75" customHeight="1" x14ac:dyDescent="0.3">
      <c r="B21" s="101" t="s">
        <v>219</v>
      </c>
      <c r="C21" s="103"/>
      <c r="D21" s="103"/>
      <c r="E21" s="103"/>
      <c r="F21" s="104" t="s">
        <v>206</v>
      </c>
      <c r="G21" s="103"/>
      <c r="H21" s="103"/>
      <c r="I21" s="103"/>
      <c r="J21" s="103"/>
      <c r="K21" s="103"/>
    </row>
    <row r="22" spans="2:12" ht="4.5" customHeight="1" x14ac:dyDescent="0.3"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2:12" ht="18" customHeight="1" x14ac:dyDescent="0.3">
      <c r="B23" s="129" t="s">
        <v>220</v>
      </c>
      <c r="C23" s="129"/>
      <c r="D23" s="129"/>
      <c r="E23" s="129"/>
      <c r="F23" s="129"/>
      <c r="G23" s="129"/>
      <c r="H23" s="129"/>
      <c r="I23" s="129"/>
      <c r="J23" s="129"/>
      <c r="K23" s="129"/>
      <c r="L23" s="129"/>
    </row>
    <row r="24" spans="2:12" ht="15.75" customHeight="1" x14ac:dyDescent="0.3">
      <c r="B24" s="101" t="s">
        <v>221</v>
      </c>
      <c r="C24" s="103"/>
      <c r="D24" s="103"/>
      <c r="E24" s="105" t="s">
        <v>206</v>
      </c>
      <c r="F24" s="105" t="s">
        <v>206</v>
      </c>
      <c r="G24" s="103"/>
      <c r="H24" s="103"/>
      <c r="I24" s="103"/>
      <c r="J24" s="103"/>
      <c r="K24" s="103"/>
    </row>
    <row r="25" spans="2:12" ht="15.75" customHeight="1" x14ac:dyDescent="0.3">
      <c r="B25" s="101" t="s">
        <v>222</v>
      </c>
      <c r="C25" s="103"/>
      <c r="D25" s="103"/>
      <c r="E25" s="105" t="s">
        <v>206</v>
      </c>
      <c r="F25" s="105" t="s">
        <v>206</v>
      </c>
      <c r="G25" s="103"/>
      <c r="H25" s="103"/>
      <c r="I25" s="103"/>
      <c r="J25" s="103"/>
      <c r="K25" s="103"/>
    </row>
    <row r="26" spans="2:12" ht="15.75" customHeight="1" x14ac:dyDescent="0.3">
      <c r="B26" s="101" t="s">
        <v>223</v>
      </c>
      <c r="C26" s="103"/>
      <c r="D26" s="103"/>
      <c r="E26" s="103"/>
      <c r="F26" s="105" t="s">
        <v>206</v>
      </c>
      <c r="G26" s="105" t="s">
        <v>206</v>
      </c>
      <c r="H26" s="103"/>
      <c r="I26" s="103"/>
      <c r="J26" s="103"/>
      <c r="K26" s="103"/>
    </row>
    <row r="27" spans="2:12" ht="15.75" customHeight="1" x14ac:dyDescent="0.3">
      <c r="B27" s="101" t="s">
        <v>224</v>
      </c>
      <c r="C27" s="103"/>
      <c r="D27" s="103"/>
      <c r="E27" s="103"/>
      <c r="F27" s="105" t="s">
        <v>206</v>
      </c>
      <c r="G27" s="105" t="s">
        <v>206</v>
      </c>
      <c r="H27" s="103"/>
      <c r="I27" s="103"/>
      <c r="J27" s="103"/>
      <c r="K27" s="103"/>
    </row>
    <row r="28" spans="2:12" ht="15.75" customHeight="1" x14ac:dyDescent="0.3">
      <c r="B28" s="101" t="s">
        <v>225</v>
      </c>
      <c r="C28" s="103"/>
      <c r="D28" s="103"/>
      <c r="E28" s="103"/>
      <c r="F28" s="103"/>
      <c r="G28" s="105" t="s">
        <v>206</v>
      </c>
      <c r="H28" s="103"/>
      <c r="I28" s="103"/>
      <c r="J28" s="103"/>
      <c r="K28" s="103"/>
    </row>
    <row r="29" spans="2:12" ht="15.75" customHeight="1" x14ac:dyDescent="0.3">
      <c r="B29" s="101" t="s">
        <v>226</v>
      </c>
      <c r="C29" s="103"/>
      <c r="D29" s="103"/>
      <c r="E29" s="103"/>
      <c r="F29" s="103"/>
      <c r="G29" s="105" t="s">
        <v>206</v>
      </c>
      <c r="H29" s="103"/>
      <c r="I29" s="103"/>
      <c r="J29" s="103"/>
      <c r="K29" s="103"/>
    </row>
    <row r="30" spans="2:12" ht="4.5" customHeight="1" x14ac:dyDescent="0.3"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</row>
    <row r="31" spans="2:12" ht="18" customHeight="1" x14ac:dyDescent="0.3">
      <c r="B31" s="130" t="s">
        <v>227</v>
      </c>
      <c r="C31" s="130"/>
      <c r="D31" s="130"/>
      <c r="E31" s="130"/>
      <c r="F31" s="130"/>
      <c r="G31" s="130"/>
      <c r="H31" s="130"/>
      <c r="I31" s="130"/>
      <c r="J31" s="130"/>
      <c r="K31" s="130"/>
      <c r="L31" s="130"/>
    </row>
    <row r="32" spans="2:12" ht="15.75" customHeight="1" x14ac:dyDescent="0.3">
      <c r="B32" s="101" t="s">
        <v>228</v>
      </c>
      <c r="C32" s="103"/>
      <c r="D32" s="103"/>
      <c r="E32" s="103"/>
      <c r="F32" s="103"/>
      <c r="G32" s="106" t="s">
        <v>206</v>
      </c>
      <c r="H32" s="106" t="s">
        <v>206</v>
      </c>
      <c r="I32" s="103"/>
      <c r="J32" s="103"/>
      <c r="K32" s="103"/>
    </row>
    <row r="33" spans="2:12" ht="15.75" customHeight="1" x14ac:dyDescent="0.3">
      <c r="B33" s="101" t="s">
        <v>229</v>
      </c>
      <c r="C33" s="103"/>
      <c r="D33" s="103"/>
      <c r="E33" s="103"/>
      <c r="F33" s="103"/>
      <c r="G33" s="106" t="s">
        <v>206</v>
      </c>
      <c r="H33" s="106" t="s">
        <v>206</v>
      </c>
      <c r="I33" s="103"/>
      <c r="J33" s="103"/>
      <c r="K33" s="103"/>
    </row>
    <row r="34" spans="2:12" ht="15.75" customHeight="1" x14ac:dyDescent="0.3">
      <c r="B34" s="101" t="s">
        <v>230</v>
      </c>
      <c r="C34" s="103"/>
      <c r="D34" s="103"/>
      <c r="E34" s="103"/>
      <c r="F34" s="103"/>
      <c r="G34" s="103"/>
      <c r="H34" s="106" t="s">
        <v>206</v>
      </c>
      <c r="I34" s="106" t="s">
        <v>206</v>
      </c>
      <c r="J34" s="103"/>
      <c r="K34" s="103"/>
    </row>
    <row r="35" spans="2:12" ht="15.75" customHeight="1" x14ac:dyDescent="0.3">
      <c r="B35" s="101" t="s">
        <v>231</v>
      </c>
      <c r="C35" s="103"/>
      <c r="D35" s="103"/>
      <c r="E35" s="103"/>
      <c r="F35" s="103"/>
      <c r="G35" s="103"/>
      <c r="H35" s="106" t="s">
        <v>206</v>
      </c>
      <c r="I35" s="106" t="s">
        <v>206</v>
      </c>
      <c r="J35" s="103"/>
      <c r="K35" s="103"/>
    </row>
    <row r="36" spans="2:12" ht="15.75" customHeight="1" x14ac:dyDescent="0.3">
      <c r="B36" s="101" t="s">
        <v>232</v>
      </c>
      <c r="C36" s="103"/>
      <c r="D36" s="103"/>
      <c r="E36" s="103"/>
      <c r="F36" s="103"/>
      <c r="G36" s="103"/>
      <c r="H36" s="106" t="s">
        <v>206</v>
      </c>
      <c r="I36" s="106" t="s">
        <v>206</v>
      </c>
      <c r="J36" s="103"/>
      <c r="K36" s="103"/>
    </row>
    <row r="37" spans="2:12" ht="15.75" customHeight="1" x14ac:dyDescent="0.3">
      <c r="B37" s="101" t="s">
        <v>233</v>
      </c>
      <c r="C37" s="103"/>
      <c r="D37" s="103"/>
      <c r="E37" s="103"/>
      <c r="F37" s="103"/>
      <c r="G37" s="103"/>
      <c r="H37" s="103"/>
      <c r="I37" s="106" t="s">
        <v>206</v>
      </c>
      <c r="J37" s="103"/>
      <c r="K37" s="103"/>
    </row>
    <row r="38" spans="2:12" ht="15.75" customHeight="1" x14ac:dyDescent="0.3">
      <c r="B38" s="101" t="s">
        <v>234</v>
      </c>
      <c r="C38" s="103"/>
      <c r="D38" s="103"/>
      <c r="E38" s="103"/>
      <c r="F38" s="103"/>
      <c r="G38" s="103"/>
      <c r="H38" s="103"/>
      <c r="I38" s="106" t="s">
        <v>206</v>
      </c>
      <c r="J38" s="103"/>
      <c r="K38" s="103"/>
    </row>
    <row r="39" spans="2:12" ht="4.5" customHeight="1" x14ac:dyDescent="0.3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</row>
    <row r="40" spans="2:12" ht="18" customHeight="1" x14ac:dyDescent="0.3">
      <c r="B40" s="131" t="s">
        <v>235</v>
      </c>
      <c r="C40" s="131"/>
      <c r="D40" s="131"/>
      <c r="E40" s="131"/>
      <c r="F40" s="131"/>
      <c r="G40" s="131"/>
      <c r="H40" s="131"/>
      <c r="I40" s="131"/>
      <c r="J40" s="131"/>
      <c r="K40" s="131"/>
      <c r="L40" s="131"/>
    </row>
    <row r="41" spans="2:12" ht="15.75" customHeight="1" x14ac:dyDescent="0.3">
      <c r="B41" s="101" t="s">
        <v>236</v>
      </c>
      <c r="C41" s="103"/>
      <c r="D41" s="103"/>
      <c r="E41" s="103"/>
      <c r="F41" s="103"/>
      <c r="G41" s="103"/>
      <c r="H41" s="103"/>
      <c r="I41" s="107" t="s">
        <v>206</v>
      </c>
      <c r="J41" s="107" t="s">
        <v>206</v>
      </c>
      <c r="K41" s="103"/>
    </row>
    <row r="42" spans="2:12" ht="15.75" customHeight="1" x14ac:dyDescent="0.3">
      <c r="B42" s="101" t="s">
        <v>237</v>
      </c>
      <c r="C42" s="103"/>
      <c r="D42" s="103"/>
      <c r="E42" s="103"/>
      <c r="F42" s="103"/>
      <c r="G42" s="103"/>
      <c r="H42" s="103"/>
      <c r="I42" s="107" t="s">
        <v>206</v>
      </c>
      <c r="J42" s="107" t="s">
        <v>206</v>
      </c>
      <c r="K42" s="103"/>
    </row>
    <row r="43" spans="2:12" ht="15.75" customHeight="1" x14ac:dyDescent="0.3">
      <c r="B43" s="101" t="s">
        <v>238</v>
      </c>
      <c r="C43" s="103"/>
      <c r="D43" s="103"/>
      <c r="E43" s="103"/>
      <c r="F43" s="103"/>
      <c r="G43" s="103"/>
      <c r="H43" s="103"/>
      <c r="I43" s="107" t="s">
        <v>206</v>
      </c>
      <c r="J43" s="107" t="s">
        <v>206</v>
      </c>
      <c r="K43" s="103"/>
    </row>
    <row r="44" spans="2:12" ht="15.75" customHeight="1" x14ac:dyDescent="0.3">
      <c r="B44" s="101" t="s">
        <v>239</v>
      </c>
      <c r="C44" s="103"/>
      <c r="D44" s="103"/>
      <c r="E44" s="103"/>
      <c r="F44" s="103"/>
      <c r="G44" s="103"/>
      <c r="H44" s="103"/>
      <c r="I44" s="103"/>
      <c r="J44" s="107" t="s">
        <v>206</v>
      </c>
      <c r="K44" s="103"/>
    </row>
    <row r="45" spans="2:12" ht="15.75" customHeight="1" x14ac:dyDescent="0.3">
      <c r="B45" s="101" t="s">
        <v>240</v>
      </c>
      <c r="C45" s="103"/>
      <c r="D45" s="103"/>
      <c r="E45" s="103"/>
      <c r="F45" s="103"/>
      <c r="G45" s="103"/>
      <c r="H45" s="103"/>
      <c r="I45" s="103"/>
      <c r="J45" s="107" t="s">
        <v>206</v>
      </c>
      <c r="K45" s="107" t="s">
        <v>206</v>
      </c>
    </row>
    <row r="46" spans="2:12" ht="15.75" customHeight="1" x14ac:dyDescent="0.3">
      <c r="B46" s="101" t="s">
        <v>241</v>
      </c>
      <c r="C46" s="103"/>
      <c r="D46" s="103"/>
      <c r="E46" s="103"/>
      <c r="F46" s="103"/>
      <c r="G46" s="103"/>
      <c r="H46" s="103"/>
      <c r="I46" s="103"/>
      <c r="J46" s="103"/>
      <c r="K46" s="107" t="s">
        <v>206</v>
      </c>
    </row>
    <row r="47" spans="2:12" ht="4.5" customHeight="1" x14ac:dyDescent="0.3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</row>
    <row r="48" spans="2:12" ht="18" customHeight="1" x14ac:dyDescent="0.3">
      <c r="B48" s="132" t="s">
        <v>242</v>
      </c>
      <c r="C48" s="132"/>
      <c r="D48" s="132"/>
      <c r="E48" s="132"/>
      <c r="F48" s="132"/>
      <c r="G48" s="132"/>
      <c r="H48" s="132"/>
      <c r="I48" s="132"/>
      <c r="J48" s="132"/>
      <c r="K48" s="132"/>
      <c r="L48" s="132"/>
    </row>
    <row r="49" spans="2:12" ht="15.75" customHeight="1" x14ac:dyDescent="0.3">
      <c r="B49" s="101" t="s">
        <v>243</v>
      </c>
      <c r="C49" s="103"/>
      <c r="D49" s="103"/>
      <c r="E49" s="103"/>
      <c r="F49" s="103"/>
      <c r="G49" s="103"/>
      <c r="H49" s="103"/>
      <c r="I49" s="103"/>
      <c r="J49" s="103"/>
      <c r="K49" s="108" t="s">
        <v>206</v>
      </c>
    </row>
    <row r="50" spans="2:12" ht="15.75" customHeight="1" x14ac:dyDescent="0.3">
      <c r="B50" s="101" t="s">
        <v>244</v>
      </c>
      <c r="C50" s="103"/>
      <c r="D50" s="103"/>
      <c r="E50" s="103"/>
      <c r="F50" s="103"/>
      <c r="G50" s="103"/>
      <c r="H50" s="103"/>
      <c r="I50" s="103"/>
      <c r="J50" s="103"/>
      <c r="K50" s="108" t="s">
        <v>206</v>
      </c>
    </row>
    <row r="51" spans="2:12" ht="15.75" customHeight="1" x14ac:dyDescent="0.3">
      <c r="B51" s="101" t="s">
        <v>245</v>
      </c>
      <c r="C51" s="103"/>
      <c r="D51" s="103"/>
      <c r="E51" s="103"/>
      <c r="F51" s="103"/>
      <c r="G51" s="103"/>
      <c r="H51" s="103"/>
      <c r="I51" s="103"/>
      <c r="J51" s="108" t="s">
        <v>206</v>
      </c>
      <c r="K51" s="108" t="s">
        <v>206</v>
      </c>
    </row>
    <row r="52" spans="2:12" ht="15.75" customHeight="1" x14ac:dyDescent="0.3">
      <c r="B52" s="101" t="s">
        <v>246</v>
      </c>
      <c r="C52" s="103"/>
      <c r="D52" s="103"/>
      <c r="E52" s="103"/>
      <c r="F52" s="103"/>
      <c r="G52" s="103"/>
      <c r="H52" s="103"/>
      <c r="I52" s="103"/>
      <c r="J52" s="103"/>
      <c r="K52" s="108" t="s">
        <v>206</v>
      </c>
    </row>
    <row r="53" spans="2:12" ht="15.75" customHeight="1" x14ac:dyDescent="0.3">
      <c r="B53" s="101" t="s">
        <v>247</v>
      </c>
      <c r="C53" s="103"/>
      <c r="D53" s="103"/>
      <c r="E53" s="103"/>
      <c r="F53" s="103"/>
      <c r="G53" s="103"/>
      <c r="H53" s="103"/>
      <c r="I53" s="103"/>
      <c r="J53" s="103"/>
      <c r="K53" s="108" t="s">
        <v>206</v>
      </c>
    </row>
    <row r="54" spans="2:12" ht="4.5" customHeight="1" x14ac:dyDescent="0.3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</row>
    <row r="55" spans="2:12" ht="15" customHeight="1" x14ac:dyDescent="0.3">
      <c r="B55" s="133" t="s">
        <v>248</v>
      </c>
      <c r="C55" s="133"/>
      <c r="D55" s="133"/>
      <c r="E55" s="133"/>
      <c r="F55" s="133"/>
      <c r="G55" s="133"/>
      <c r="H55" s="133"/>
      <c r="I55" s="133"/>
      <c r="J55" s="133"/>
      <c r="K55" s="133"/>
      <c r="L55" s="133"/>
    </row>
  </sheetData>
  <mergeCells count="7">
    <mergeCell ref="B48:L48"/>
    <mergeCell ref="B55:L55"/>
    <mergeCell ref="B6:L6"/>
    <mergeCell ref="B15:L15"/>
    <mergeCell ref="B23:L23"/>
    <mergeCell ref="B31:L31"/>
    <mergeCell ref="B40:L4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F38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38" customWidth="1"/>
    <col min="3" max="4" width="16" customWidth="1"/>
    <col min="5" max="5" width="38" customWidth="1"/>
  </cols>
  <sheetData>
    <row r="1" spans="1:6" ht="15" customHeight="1" x14ac:dyDescent="0.3">
      <c r="A1" s="15"/>
      <c r="B1" s="15"/>
      <c r="C1" s="15"/>
      <c r="D1" s="15"/>
      <c r="E1" s="15"/>
      <c r="F1" s="15"/>
    </row>
    <row r="2" spans="1:6" ht="25.5" customHeight="1" x14ac:dyDescent="0.3">
      <c r="A2" s="15"/>
      <c r="B2" s="109"/>
      <c r="C2" s="15"/>
      <c r="D2" s="15"/>
      <c r="E2" s="15"/>
      <c r="F2" s="15"/>
    </row>
    <row r="3" spans="1:6" ht="15" customHeight="1" x14ac:dyDescent="0.3">
      <c r="A3" s="15"/>
      <c r="B3" s="15"/>
      <c r="C3" s="15"/>
      <c r="D3" s="15"/>
      <c r="E3" s="15"/>
      <c r="F3" s="15"/>
    </row>
    <row r="5" spans="1:6" ht="18" customHeight="1" x14ac:dyDescent="0.3">
      <c r="B5" s="116" t="s">
        <v>249</v>
      </c>
      <c r="C5" s="116"/>
      <c r="D5" s="116"/>
      <c r="E5" s="116"/>
    </row>
    <row r="6" spans="1:6" ht="15.75" customHeight="1" x14ac:dyDescent="0.3">
      <c r="B6" s="16" t="s">
        <v>250</v>
      </c>
      <c r="C6" s="16" t="s">
        <v>251</v>
      </c>
      <c r="D6" s="16" t="s">
        <v>252</v>
      </c>
      <c r="E6" s="16" t="s">
        <v>253</v>
      </c>
    </row>
    <row r="7" spans="1:6" ht="15.75" customHeight="1" x14ac:dyDescent="0.3">
      <c r="B7" s="51" t="s">
        <v>254</v>
      </c>
      <c r="C7" s="20">
        <v>4</v>
      </c>
      <c r="D7" s="47" t="s">
        <v>255</v>
      </c>
      <c r="E7" s="110" t="s">
        <v>256</v>
      </c>
    </row>
    <row r="8" spans="1:6" ht="15.75" customHeight="1" x14ac:dyDescent="0.3">
      <c r="B8" s="111" t="s">
        <v>257</v>
      </c>
      <c r="C8" s="20">
        <v>2.4</v>
      </c>
      <c r="D8" s="112" t="s">
        <v>255</v>
      </c>
      <c r="E8" s="113" t="s">
        <v>258</v>
      </c>
    </row>
    <row r="9" spans="1:6" ht="15.75" customHeight="1" x14ac:dyDescent="0.3">
      <c r="B9" s="51" t="s">
        <v>259</v>
      </c>
      <c r="C9" s="20">
        <v>4</v>
      </c>
      <c r="D9" s="47" t="s">
        <v>255</v>
      </c>
      <c r="E9" s="110" t="s">
        <v>260</v>
      </c>
    </row>
    <row r="10" spans="1:6" ht="15.75" customHeight="1" x14ac:dyDescent="0.3">
      <c r="B10" s="111" t="s">
        <v>261</v>
      </c>
      <c r="C10" s="20">
        <v>1.6</v>
      </c>
      <c r="D10" s="112" t="s">
        <v>255</v>
      </c>
      <c r="E10" s="113" t="s">
        <v>262</v>
      </c>
    </row>
    <row r="11" spans="1:6" ht="15.75" customHeight="1" x14ac:dyDescent="0.3">
      <c r="B11" s="51" t="s">
        <v>263</v>
      </c>
      <c r="C11" s="20">
        <v>6.4</v>
      </c>
      <c r="D11" s="47" t="s">
        <v>255</v>
      </c>
      <c r="E11" s="110" t="s">
        <v>264</v>
      </c>
    </row>
    <row r="12" spans="1:6" ht="15.75" customHeight="1" x14ac:dyDescent="0.3">
      <c r="B12" s="111" t="s">
        <v>265</v>
      </c>
      <c r="C12" s="20">
        <v>8</v>
      </c>
      <c r="D12" s="112" t="s">
        <v>255</v>
      </c>
      <c r="E12" s="113" t="s">
        <v>266</v>
      </c>
    </row>
    <row r="13" spans="1:6" ht="15.75" customHeight="1" x14ac:dyDescent="0.3">
      <c r="B13" s="51" t="s">
        <v>267</v>
      </c>
      <c r="C13" s="20">
        <v>24</v>
      </c>
      <c r="D13" s="47" t="s">
        <v>255</v>
      </c>
      <c r="E13" s="110" t="s">
        <v>268</v>
      </c>
    </row>
    <row r="14" spans="1:6" ht="15.75" customHeight="1" x14ac:dyDescent="0.3">
      <c r="B14" s="111" t="s">
        <v>269</v>
      </c>
      <c r="C14" s="20">
        <v>40</v>
      </c>
      <c r="D14" s="112" t="s">
        <v>255</v>
      </c>
      <c r="E14" s="113" t="s">
        <v>270</v>
      </c>
    </row>
    <row r="16" spans="1:6" ht="18" customHeight="1" x14ac:dyDescent="0.3">
      <c r="B16" s="120" t="s">
        <v>271</v>
      </c>
      <c r="C16" s="120"/>
      <c r="D16" s="120"/>
      <c r="E16" s="120"/>
    </row>
    <row r="17" spans="2:5" ht="15.75" customHeight="1" x14ac:dyDescent="0.3">
      <c r="B17" s="16" t="s">
        <v>250</v>
      </c>
      <c r="C17" s="16" t="s">
        <v>251</v>
      </c>
      <c r="D17" s="16" t="s">
        <v>252</v>
      </c>
      <c r="E17" s="16" t="s">
        <v>253</v>
      </c>
    </row>
    <row r="18" spans="2:5" ht="15.75" customHeight="1" x14ac:dyDescent="0.3">
      <c r="B18" s="51" t="s">
        <v>272</v>
      </c>
      <c r="C18" s="20">
        <v>4</v>
      </c>
      <c r="D18" s="47" t="s">
        <v>255</v>
      </c>
      <c r="E18" s="110" t="s">
        <v>273</v>
      </c>
    </row>
    <row r="19" spans="2:5" ht="15.75" customHeight="1" x14ac:dyDescent="0.3">
      <c r="B19" s="111" t="s">
        <v>274</v>
      </c>
      <c r="C19" s="20">
        <v>8</v>
      </c>
      <c r="D19" s="112" t="s">
        <v>255</v>
      </c>
      <c r="E19" s="113" t="s">
        <v>275</v>
      </c>
    </row>
    <row r="20" spans="2:5" ht="15.75" customHeight="1" x14ac:dyDescent="0.3">
      <c r="B20" s="51" t="s">
        <v>276</v>
      </c>
      <c r="C20" s="20">
        <v>16</v>
      </c>
      <c r="D20" s="47" t="s">
        <v>255</v>
      </c>
      <c r="E20" s="110" t="s">
        <v>277</v>
      </c>
    </row>
    <row r="21" spans="2:5" ht="15.75" customHeight="1" x14ac:dyDescent="0.3">
      <c r="B21" s="111" t="s">
        <v>278</v>
      </c>
      <c r="C21" s="20">
        <v>0.8</v>
      </c>
      <c r="D21" s="112" t="s">
        <v>255</v>
      </c>
      <c r="E21" s="113" t="s">
        <v>279</v>
      </c>
    </row>
    <row r="23" spans="2:5" ht="18" customHeight="1" x14ac:dyDescent="0.3">
      <c r="B23" s="134" t="s">
        <v>280</v>
      </c>
      <c r="C23" s="134"/>
      <c r="D23" s="134"/>
      <c r="E23" s="134"/>
    </row>
    <row r="24" spans="2:5" ht="15.75" customHeight="1" x14ac:dyDescent="0.3">
      <c r="B24" s="16" t="s">
        <v>250</v>
      </c>
      <c r="C24" s="16" t="s">
        <v>251</v>
      </c>
      <c r="D24" s="16" t="s">
        <v>252</v>
      </c>
      <c r="E24" s="16" t="s">
        <v>253</v>
      </c>
    </row>
    <row r="25" spans="2:5" ht="15.75" customHeight="1" x14ac:dyDescent="0.3">
      <c r="B25" s="51" t="s">
        <v>281</v>
      </c>
      <c r="C25" s="20">
        <v>1.6</v>
      </c>
      <c r="D25" s="47" t="s">
        <v>255</v>
      </c>
      <c r="E25" s="110" t="s">
        <v>282</v>
      </c>
    </row>
    <row r="26" spans="2:5" ht="15.75" customHeight="1" x14ac:dyDescent="0.3">
      <c r="B26" s="111" t="s">
        <v>283</v>
      </c>
      <c r="C26" s="20">
        <v>12</v>
      </c>
      <c r="D26" s="112" t="s">
        <v>255</v>
      </c>
      <c r="E26" s="113" t="s">
        <v>284</v>
      </c>
    </row>
    <row r="27" spans="2:5" ht="15.75" customHeight="1" x14ac:dyDescent="0.3">
      <c r="B27" s="51" t="s">
        <v>285</v>
      </c>
      <c r="C27" s="20">
        <v>8</v>
      </c>
      <c r="D27" s="47" t="s">
        <v>255</v>
      </c>
      <c r="E27" s="110" t="s">
        <v>286</v>
      </c>
    </row>
    <row r="28" spans="2:5" ht="15.75" customHeight="1" x14ac:dyDescent="0.3">
      <c r="B28" s="111" t="s">
        <v>287</v>
      </c>
      <c r="C28" s="20">
        <v>0.8</v>
      </c>
      <c r="D28" s="112" t="s">
        <v>255</v>
      </c>
      <c r="E28" s="113" t="s">
        <v>288</v>
      </c>
    </row>
    <row r="30" spans="2:5" ht="18" customHeight="1" x14ac:dyDescent="0.3">
      <c r="B30" s="135" t="s">
        <v>289</v>
      </c>
      <c r="C30" s="135"/>
      <c r="D30" s="135"/>
      <c r="E30" s="135"/>
    </row>
    <row r="31" spans="2:5" ht="15.75" customHeight="1" x14ac:dyDescent="0.3">
      <c r="B31" s="16" t="s">
        <v>250</v>
      </c>
      <c r="C31" s="16" t="s">
        <v>251</v>
      </c>
      <c r="D31" s="16" t="s">
        <v>252</v>
      </c>
      <c r="E31" s="16" t="s">
        <v>253</v>
      </c>
    </row>
    <row r="32" spans="2:5" ht="15.75" customHeight="1" x14ac:dyDescent="0.3">
      <c r="B32" s="51" t="s">
        <v>290</v>
      </c>
      <c r="C32" s="20">
        <v>80</v>
      </c>
      <c r="D32" s="47" t="s">
        <v>255</v>
      </c>
      <c r="E32" s="110" t="s">
        <v>291</v>
      </c>
    </row>
    <row r="33" spans="2:5" ht="15.75" customHeight="1" x14ac:dyDescent="0.3">
      <c r="B33" s="111" t="s">
        <v>292</v>
      </c>
      <c r="C33" s="20">
        <v>4</v>
      </c>
      <c r="D33" s="112" t="s">
        <v>255</v>
      </c>
      <c r="E33" s="113" t="s">
        <v>293</v>
      </c>
    </row>
    <row r="34" spans="2:5" ht="15.75" customHeight="1" x14ac:dyDescent="0.3">
      <c r="B34" s="51" t="s">
        <v>294</v>
      </c>
      <c r="C34" s="20">
        <v>0.28000000000000003</v>
      </c>
      <c r="D34" s="47" t="s">
        <v>295</v>
      </c>
      <c r="E34" s="110" t="s">
        <v>296</v>
      </c>
    </row>
    <row r="35" spans="2:5" ht="15.75" customHeight="1" x14ac:dyDescent="0.3">
      <c r="B35" s="111" t="s">
        <v>297</v>
      </c>
      <c r="C35" s="20">
        <v>0.12</v>
      </c>
      <c r="D35" s="112" t="s">
        <v>295</v>
      </c>
      <c r="E35" s="113" t="s">
        <v>298</v>
      </c>
    </row>
    <row r="36" spans="2:5" ht="15.75" customHeight="1" x14ac:dyDescent="0.3">
      <c r="B36" s="51" t="s">
        <v>299</v>
      </c>
      <c r="C36" s="20">
        <v>0.08</v>
      </c>
      <c r="D36" s="47" t="s">
        <v>295</v>
      </c>
      <c r="E36" s="110" t="s">
        <v>300</v>
      </c>
    </row>
    <row r="37" spans="2:5" ht="15.75" customHeight="1" x14ac:dyDescent="0.3">
      <c r="B37" s="111" t="s">
        <v>301</v>
      </c>
      <c r="C37" s="20">
        <v>8</v>
      </c>
      <c r="D37" s="112" t="s">
        <v>255</v>
      </c>
      <c r="E37" s="113" t="s">
        <v>302</v>
      </c>
    </row>
    <row r="38" spans="2:5" ht="15.75" customHeight="1" x14ac:dyDescent="0.3">
      <c r="B38" s="51" t="s">
        <v>303</v>
      </c>
      <c r="C38" s="20">
        <v>15</v>
      </c>
      <c r="D38" s="47" t="s">
        <v>304</v>
      </c>
      <c r="E38" s="110" t="s">
        <v>305</v>
      </c>
    </row>
  </sheetData>
  <mergeCells count="4">
    <mergeCell ref="B5:E5"/>
    <mergeCell ref="B16:E16"/>
    <mergeCell ref="B23:E23"/>
    <mergeCell ref="B30:E3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✏️ SME Input</vt:lpstr>
      <vt:lpstr>📋 App Effort Detail</vt:lpstr>
      <vt:lpstr>📊 Dashboard</vt:lpstr>
      <vt:lpstr>🔍 App Pivot View</vt:lpstr>
      <vt:lpstr>📅 Wave Plan</vt:lpstr>
      <vt:lpstr>⚙️ Rate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Prakash Natarajan</cp:lastModifiedBy>
  <cp:revision>0</cp:revision>
  <dcterms:created xsi:type="dcterms:W3CDTF">2026-06-05T23:18:54Z</dcterms:created>
  <dcterms:modified xsi:type="dcterms:W3CDTF">2026-06-06T00:51:49Z</dcterms:modified>
  <dc:language>en-US</dc:language>
</cp:coreProperties>
</file>