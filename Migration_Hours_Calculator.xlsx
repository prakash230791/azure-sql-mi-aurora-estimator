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 Calculator" sheetId="1" state="visible" r:id="rId1"/>
    <sheet name="Rate Reference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#,##0.0"/>
    <numFmt numFmtId="166" formatCode="#,##0.##"/>
    <numFmt numFmtId="167" formatCode="0.0000"/>
    <numFmt numFmtId="168" formatCode="0.0"/>
  </numFmts>
  <fonts count="2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color rgb="FF000000"/>
      <sz val="10"/>
    </font>
    <font>
      <name val="Arial"/>
      <b val="1"/>
      <color rgb="FF000000"/>
      <sz val="11"/>
    </font>
    <font>
      <name val="Arial"/>
      <color rgb="FF0000FF"/>
      <sz val="10"/>
    </font>
    <font>
      <name val="Arial"/>
      <color rgb="FF7D5A00"/>
      <sz val="10"/>
    </font>
    <font>
      <name val="Arial"/>
      <color rgb="FF8B4000"/>
      <sz val="10"/>
    </font>
    <font>
      <name val="Arial"/>
      <b val="1"/>
      <color rgb="FF1A5276"/>
      <sz val="10"/>
    </font>
    <font>
      <name val="Arial"/>
      <b val="1"/>
      <color rgb="FF7D5A00"/>
      <sz val="10"/>
    </font>
    <font>
      <name val="Arial"/>
      <b val="1"/>
      <color rgb="FFFFFFFF"/>
      <sz val="11"/>
    </font>
    <font>
      <name val="Arial"/>
      <b val="1"/>
      <sz val="11"/>
    </font>
    <font>
      <name val="Arial"/>
      <b val="1"/>
      <color rgb="FF145A32"/>
      <sz val="10"/>
    </font>
    <font>
      <name val="Arial"/>
      <b val="1"/>
      <color rgb="FF4A235A"/>
      <sz val="10"/>
    </font>
    <font>
      <name val="Arial"/>
      <i val="1"/>
      <color rgb="FF555555"/>
      <sz val="9"/>
    </font>
    <font>
      <name val="Arial"/>
      <b val="1"/>
      <color rgb="FF0000FF"/>
      <sz val="10"/>
    </font>
    <font>
      <name val="Arial"/>
      <b val="1"/>
      <color rgb="FF1F4E79"/>
      <sz val="10"/>
    </font>
    <font>
      <name val="Arial"/>
      <b val="1"/>
      <color rgb="FF1F4E79"/>
      <sz val="11"/>
    </font>
    <font>
      <name val="Arial"/>
      <i val="1"/>
      <color rgb="FF8B4000"/>
      <sz val="10"/>
    </font>
    <font>
      <name val="Arial"/>
      <b val="1"/>
      <color rgb="FFFFFFFF"/>
      <sz val="13"/>
    </font>
    <font>
      <name val="Arial"/>
      <sz val="9"/>
    </font>
    <font>
      <name val="Arial"/>
      <b val="1"/>
      <sz val="9"/>
    </font>
    <font>
      <name val="Arial"/>
      <sz val="10"/>
    </font>
    <font>
      <name val="Arial"/>
      <i val="1"/>
      <color rgb="FF555555"/>
      <sz val="10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4057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medium">
        <color rgb="FF7D5A00"/>
      </left>
      <right style="medium">
        <color rgb="FF7D5A00"/>
      </right>
      <top style="medium">
        <color rgb="FF7D5A00"/>
      </top>
      <bottom style="medium">
        <color rgb="FF7D5A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165" fontId="6" fillId="5" borderId="0" applyAlignment="1" pivotButton="0" quotePrefix="0" xfId="0">
      <alignment horizontal="center" vertical="center" wrapText="1"/>
    </xf>
    <xf numFmtId="165" fontId="7" fillId="6" borderId="0" applyAlignment="1" pivotButton="0" quotePrefix="0" xfId="0">
      <alignment horizontal="center" vertical="center" wrapText="1"/>
    </xf>
    <xf numFmtId="165" fontId="8" fillId="7" borderId="0" applyAlignment="1" pivotButton="0" quotePrefix="0" xfId="0">
      <alignment horizontal="center" vertical="center" wrapText="1"/>
    </xf>
    <xf numFmtId="165" fontId="9" fillId="5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 vertical="center" wrapText="1"/>
    </xf>
    <xf numFmtId="164" fontId="4" fillId="8" borderId="0" applyAlignment="1" pivotButton="0" quotePrefix="0" xfId="0">
      <alignment horizontal="center" vertical="center" wrapText="1"/>
    </xf>
    <xf numFmtId="165" fontId="6" fillId="8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/>
    </xf>
    <xf numFmtId="165" fontId="11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166" fontId="12" fillId="6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167" fontId="4" fillId="10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165" fontId="8" fillId="7" borderId="0" applyAlignment="1" pivotButton="0" quotePrefix="0" xfId="0">
      <alignment horizontal="center" vertical="center"/>
    </xf>
    <xf numFmtId="165" fontId="13" fillId="10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167" fontId="4" fillId="8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165" fontId="11" fillId="9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/>
    </xf>
    <xf numFmtId="167" fontId="4" fillId="12" borderId="0" applyAlignment="1" pivotButton="0" quotePrefix="0" xfId="0">
      <alignment horizontal="center" vertical="center"/>
    </xf>
    <xf numFmtId="165" fontId="6" fillId="12" borderId="0" applyAlignment="1" pivotButton="0" quotePrefix="0" xfId="0">
      <alignment horizontal="center" vertical="center"/>
    </xf>
    <xf numFmtId="165" fontId="14" fillId="12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165" fontId="11" fillId="11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165" fontId="16" fillId="0" borderId="0" pivotButton="0" quotePrefix="0" xfId="0"/>
    <xf numFmtId="0" fontId="4" fillId="13" borderId="0" applyAlignment="1" pivotButton="0" quotePrefix="0" xfId="0">
      <alignment horizontal="left" vertical="center" wrapText="1"/>
    </xf>
    <xf numFmtId="165" fontId="6" fillId="13" borderId="0" applyAlignment="1" pivotButton="0" quotePrefix="0" xfId="0">
      <alignment horizontal="center" vertical="center" wrapText="1"/>
    </xf>
    <xf numFmtId="165" fontId="17" fillId="13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/>
    </xf>
    <xf numFmtId="165" fontId="1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165" fontId="18" fillId="0" borderId="0" applyAlignment="1" pivotButton="0" quotePrefix="0" xfId="0">
      <alignment horizontal="center" vertical="center" wrapText="1"/>
    </xf>
    <xf numFmtId="168" fontId="18" fillId="0" borderId="0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left" vertical="center" wrapText="1"/>
    </xf>
    <xf numFmtId="0" fontId="22" fillId="5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  <xf numFmtId="0" fontId="22" fillId="10" borderId="0" applyAlignment="1" pivotButton="0" quotePrefix="0" xfId="0">
      <alignment horizontal="left" vertical="center" wrapText="1"/>
    </xf>
    <xf numFmtId="0" fontId="21" fillId="10" borderId="0" applyAlignment="1" pivotButton="0" quotePrefix="0" xfId="0">
      <alignment horizontal="left" vertical="center" wrapText="1"/>
    </xf>
    <xf numFmtId="0" fontId="22" fillId="12" borderId="0" applyAlignment="1" pivotButton="0" quotePrefix="0" xfId="0">
      <alignment horizontal="left" vertical="center" wrapText="1"/>
    </xf>
    <xf numFmtId="0" fontId="21" fillId="1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left" vertical="center" wrapText="1"/>
    </xf>
    <xf numFmtId="0" fontId="24" fillId="7" borderId="0" applyAlignment="1" pivotButton="0" quotePrefix="0" xfId="0">
      <alignment horizontal="left" vertical="center" wrapText="1"/>
    </xf>
    <xf numFmtId="0" fontId="17" fillId="10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B1" s="1" t="inlineStr">
        <is>
          <t>Azure SQL MI → AWS Aurora PostgreSQL  |  Migration Effort Calculator  |  (Devin AI + GitHub Copilot)</t>
        </is>
      </c>
    </row>
    <row r="2" ht="26" customHeight="1">
      <c r="B2" s="2" t="inlineStr">
        <is>
          <t>Label / Object</t>
        </is>
      </c>
      <c r="C2" s="2" t="inlineStr">
        <is>
          <t>Count (Input)</t>
        </is>
      </c>
      <c r="D2" s="2" t="inlineStr">
        <is>
          <t>Manual Rate</t>
        </is>
      </c>
      <c r="E2" s="2" t="inlineStr">
        <is>
          <t>AI Saving %</t>
        </is>
      </c>
      <c r="F2" s="2" t="inlineStr">
        <is>
          <t>AI-Adj Rate</t>
        </is>
      </c>
      <c r="G2" s="2" t="inlineStr">
        <is>
          <t>Hours (Sub)</t>
        </is>
      </c>
      <c r="H2" s="2" t="inlineStr">
        <is>
          <t>SDLC +25%</t>
        </is>
      </c>
      <c r="I2" s="2" t="inlineStr">
        <is>
          <t>Risk +10%</t>
        </is>
      </c>
      <c r="J2" s="2" t="inlineStr">
        <is>
          <t>Total Hours</t>
        </is>
      </c>
    </row>
    <row r="3" ht="26" customHeight="1">
      <c r="B3" s="3" t="inlineStr">
        <is>
          <t>SECTION A — SCHEMA MIGRATION</t>
        </is>
      </c>
    </row>
    <row r="4" ht="24" customHeight="1">
      <c r="B4" s="4" t="inlineStr">
        <is>
          <t>Tables (SCT auto-convert + DBA review)</t>
        </is>
      </c>
      <c r="C4" s="5" t="n">
        <v>500</v>
      </c>
      <c r="D4" s="6" t="inlineStr">
        <is>
          <t>0.40 hrs/table</t>
        </is>
      </c>
      <c r="E4" s="6" t="inlineStr">
        <is>
          <t>80%</t>
        </is>
      </c>
      <c r="F4" s="7" t="n">
        <v>0.08</v>
      </c>
      <c r="G4" s="8">
        <f>C4*F4</f>
        <v/>
      </c>
      <c r="H4" s="9">
        <f>G4*0.25</f>
        <v/>
      </c>
      <c r="I4" s="10">
        <f>G4*0.10</f>
        <v/>
      </c>
      <c r="J4" s="11">
        <f>G4+H4+I4</f>
        <v/>
      </c>
    </row>
    <row r="5" ht="24" customHeight="1">
      <c r="B5" s="12" t="inlineStr">
        <is>
          <t>Views (SCT + manual T-SQL fix ~35%)</t>
        </is>
      </c>
      <c r="C5" s="5" t="n">
        <v>250</v>
      </c>
      <c r="D5" s="13" t="inlineStr">
        <is>
          <t>1.50 hrs/view</t>
        </is>
      </c>
      <c r="E5" s="13" t="inlineStr">
        <is>
          <t>65%</t>
        </is>
      </c>
      <c r="F5" s="14" t="n">
        <v>0.525</v>
      </c>
      <c r="G5" s="15">
        <f>C5*F5</f>
        <v/>
      </c>
      <c r="H5" s="9">
        <f>G5*0.25</f>
        <v/>
      </c>
      <c r="I5" s="10">
        <f>G5*0.10</f>
        <v/>
      </c>
      <c r="J5" s="11">
        <f>G5+H5+I5</f>
        <v/>
      </c>
    </row>
    <row r="6" ht="24" customHeight="1">
      <c r="B6" s="4" t="inlineStr">
        <is>
          <t>Indexes (clustered → B-tree strategy)</t>
        </is>
      </c>
      <c r="C6" s="5" t="n">
        <v>200</v>
      </c>
      <c r="D6" s="6" t="inlineStr">
        <is>
          <t>0.50 hrs/group</t>
        </is>
      </c>
      <c r="E6" s="6" t="inlineStr">
        <is>
          <t>50%</t>
        </is>
      </c>
      <c r="F6" s="7" t="n">
        <v>0.25</v>
      </c>
      <c r="G6" s="8">
        <f>C6*F6</f>
        <v/>
      </c>
      <c r="H6" s="9">
        <f>G6*0.25</f>
        <v/>
      </c>
      <c r="I6" s="10">
        <f>G6*0.10</f>
        <v/>
      </c>
      <c r="J6" s="11">
        <f>G6+H6+I6</f>
        <v/>
      </c>
    </row>
    <row r="7" ht="24" customHeight="1">
      <c r="B7" s="12" t="inlineStr">
        <is>
          <t>SPs — Simple CRUD (Devin autonomous)</t>
        </is>
      </c>
      <c r="C7" s="5" t="n">
        <v>120</v>
      </c>
      <c r="D7" s="13" t="inlineStr">
        <is>
          <t>0.67 hrs/SP</t>
        </is>
      </c>
      <c r="E7" s="13" t="inlineStr">
        <is>
          <t>75%</t>
        </is>
      </c>
      <c r="F7" s="14" t="n">
        <v>0.168</v>
      </c>
      <c r="G7" s="15">
        <f>C7*F7</f>
        <v/>
      </c>
      <c r="H7" s="9">
        <f>G7*0.25</f>
        <v/>
      </c>
      <c r="I7" s="10">
        <f>G7*0.10</f>
        <v/>
      </c>
      <c r="J7" s="11">
        <f>G7+H7+I7</f>
        <v/>
      </c>
    </row>
    <row r="8" ht="24" customHeight="1">
      <c r="B8" s="4" t="inlineStr">
        <is>
          <t>SPs — Business Logic (Devin+DBA review)</t>
        </is>
      </c>
      <c r="C8" s="5" t="n">
        <v>105</v>
      </c>
      <c r="D8" s="6" t="inlineStr">
        <is>
          <t>1.50 hrs/SP</t>
        </is>
      </c>
      <c r="E8" s="6" t="inlineStr">
        <is>
          <t>65%</t>
        </is>
      </c>
      <c r="F8" s="7" t="n">
        <v>0.525</v>
      </c>
      <c r="G8" s="8">
        <f>C8*F8</f>
        <v/>
      </c>
      <c r="H8" s="9">
        <f>G8*0.25</f>
        <v/>
      </c>
      <c r="I8" s="10">
        <f>G8*0.10</f>
        <v/>
      </c>
      <c r="J8" s="11">
        <f>G8+H8+I8</f>
        <v/>
      </c>
    </row>
    <row r="9" ht="24" customHeight="1">
      <c r="B9" s="12" t="inlineStr">
        <is>
          <t>SPs — Complex (DBA manual + GHCP)</t>
        </is>
      </c>
      <c r="C9" s="5" t="n">
        <v>45</v>
      </c>
      <c r="D9" s="13" t="inlineStr">
        <is>
          <t>4.00 hrs/SP</t>
        </is>
      </c>
      <c r="E9" s="13" t="inlineStr">
        <is>
          <t>40%</t>
        </is>
      </c>
      <c r="F9" s="14" t="n">
        <v>2.4</v>
      </c>
      <c r="G9" s="15">
        <f>C9*F9</f>
        <v/>
      </c>
      <c r="H9" s="9">
        <f>G9*0.25</f>
        <v/>
      </c>
      <c r="I9" s="10">
        <f>G9*0.10</f>
        <v/>
      </c>
      <c r="J9" s="11">
        <f>G9+H9+I9</f>
        <v/>
      </c>
    </row>
    <row r="10" ht="24" customHeight="1">
      <c r="B10" s="4" t="inlineStr">
        <is>
          <t>SPs — CLR Objects (full redesign)</t>
        </is>
      </c>
      <c r="C10" s="5" t="n">
        <v>30</v>
      </c>
      <c r="D10" s="6" t="inlineStr">
        <is>
          <t>8.00 hrs/obj</t>
        </is>
      </c>
      <c r="E10" s="6" t="inlineStr">
        <is>
          <t>20%</t>
        </is>
      </c>
      <c r="F10" s="7" t="n">
        <v>6.4</v>
      </c>
      <c r="G10" s="8">
        <f>C10*F10</f>
        <v/>
      </c>
      <c r="H10" s="9">
        <f>G10*0.25</f>
        <v/>
      </c>
      <c r="I10" s="10">
        <f>G10*0.10</f>
        <v/>
      </c>
      <c r="J10" s="11">
        <f>G10+H10+I10</f>
        <v/>
      </c>
    </row>
    <row r="11" ht="24" customHeight="1">
      <c r="B11" s="12" t="inlineStr">
        <is>
          <t>Functions — Scalar + TVF</t>
        </is>
      </c>
      <c r="C11" s="5" t="n">
        <v>150</v>
      </c>
      <c r="D11" s="13" t="inlineStr">
        <is>
          <t>1.00 hrs/fn</t>
        </is>
      </c>
      <c r="E11" s="13" t="inlineStr">
        <is>
          <t>65%</t>
        </is>
      </c>
      <c r="F11" s="14" t="n">
        <v>0.35</v>
      </c>
      <c r="G11" s="15">
        <f>C11*F11</f>
        <v/>
      </c>
      <c r="H11" s="9">
        <f>G11*0.25</f>
        <v/>
      </c>
      <c r="I11" s="10">
        <f>G11*0.10</f>
        <v/>
      </c>
      <c r="J11" s="11">
        <f>G11+H11+I11</f>
        <v/>
      </c>
    </row>
    <row r="12" ht="24" customHeight="1">
      <c r="B12" s="4" t="inlineStr">
        <is>
          <t>Triggers</t>
        </is>
      </c>
      <c r="C12" s="5" t="n">
        <v>75</v>
      </c>
      <c r="D12" s="6" t="inlineStr">
        <is>
          <t>2.00 hrs/trigger</t>
        </is>
      </c>
      <c r="E12" s="6" t="inlineStr">
        <is>
          <t>45%</t>
        </is>
      </c>
      <c r="F12" s="7" t="n">
        <v>1.1</v>
      </c>
      <c r="G12" s="8">
        <f>C12*F12</f>
        <v/>
      </c>
      <c r="H12" s="9">
        <f>G12*0.25</f>
        <v/>
      </c>
      <c r="I12" s="10">
        <f>G12*0.10</f>
        <v/>
      </c>
      <c r="J12" s="11">
        <f>G12+H12+I12</f>
        <v/>
      </c>
    </row>
    <row r="13" ht="24" customHeight="1">
      <c r="B13" s="12" t="inlineStr">
        <is>
          <t>SQL Agent Jobs</t>
        </is>
      </c>
      <c r="C13" s="5" t="n">
        <v>50</v>
      </c>
      <c r="D13" s="13" t="inlineStr">
        <is>
          <t>2.00 hrs/job</t>
        </is>
      </c>
      <c r="E13" s="13" t="inlineStr">
        <is>
          <t>60%</t>
        </is>
      </c>
      <c r="F13" s="14" t="n">
        <v>0.8</v>
      </c>
      <c r="G13" s="15">
        <f>C13*F13</f>
        <v/>
      </c>
      <c r="H13" s="9">
        <f>G13*0.25</f>
        <v/>
      </c>
      <c r="I13" s="10">
        <f>G13*0.10</f>
        <v/>
      </c>
      <c r="J13" s="11">
        <f>G13+H13+I13</f>
        <v/>
      </c>
    </row>
    <row r="14" ht="24" customHeight="1">
      <c r="B14" s="4" t="inlineStr">
        <is>
          <t>Security Roles / Logins</t>
        </is>
      </c>
      <c r="C14" s="5" t="n">
        <v>40</v>
      </c>
      <c r="D14" s="6" t="inlineStr">
        <is>
          <t>0.50 hrs/role</t>
        </is>
      </c>
      <c r="E14" s="6" t="inlineStr">
        <is>
          <t>65%</t>
        </is>
      </c>
      <c r="F14" s="7" t="n">
        <v>0.175</v>
      </c>
      <c r="G14" s="8">
        <f>C14*F14</f>
        <v/>
      </c>
      <c r="H14" s="9">
        <f>G14*0.25</f>
        <v/>
      </c>
      <c r="I14" s="10">
        <f>G14*0.10</f>
        <v/>
      </c>
      <c r="J14" s="11">
        <f>G14+H14+I14</f>
        <v/>
      </c>
    </row>
    <row r="15" ht="24" customHeight="1">
      <c r="B15" s="12" t="inlineStr">
        <is>
          <t>Devin Fine-Tuning (FIXED — mandatory)</t>
        </is>
      </c>
      <c r="C15" s="16" t="inlineStr">
        <is>
          <t>FIXED</t>
        </is>
      </c>
      <c r="D15" s="13" t="inlineStr">
        <is>
          <t>80 hrs flat</t>
        </is>
      </c>
      <c r="E15" s="13" t="inlineStr">
        <is>
          <t>0%</t>
        </is>
      </c>
      <c r="F15" s="14" t="n">
        <v>80</v>
      </c>
      <c r="G15" s="15" t="n">
        <v>80</v>
      </c>
      <c r="H15" s="9">
        <f>G15*0.25</f>
        <v/>
      </c>
      <c r="I15" s="10">
        <f>G15*0.10</f>
        <v/>
      </c>
      <c r="J15" s="11">
        <f>G15+H15+I15</f>
        <v/>
      </c>
    </row>
    <row r="16" ht="26" customHeight="1">
      <c r="B16" s="17" t="inlineStr">
        <is>
          <t>SCHEMA MIGRATION SUBTOTAL</t>
        </is>
      </c>
      <c r="G16" s="18">
        <f>SUM(G4,G5,G6,G7,G8,G9,G10,G11,G12,G13,G14,G15)</f>
        <v/>
      </c>
      <c r="H16" s="18">
        <f>G16*0.25</f>
        <v/>
      </c>
      <c r="I16" s="18">
        <f>G16*0.10</f>
        <v/>
      </c>
      <c r="J16" s="18">
        <f>G16+H16+I16</f>
        <v/>
      </c>
    </row>
    <row r="18" ht="26" customHeight="1">
      <c r="B18" s="19" t="inlineStr">
        <is>
          <t>SECTION B — DATA MIGRATION</t>
        </is>
      </c>
    </row>
    <row r="19" ht="24" customHeight="1">
      <c r="B19" s="20" t="inlineStr">
        <is>
          <t>App DB Size — Tier 1 (GB)</t>
        </is>
      </c>
      <c r="C19" s="21" t="n">
        <v>2000</v>
      </c>
      <c r="D19" s="22" t="inlineStr">
        <is>
          <t>0.0040 hrs/GB</t>
        </is>
      </c>
      <c r="E19" s="22" t="inlineStr">
        <is>
          <t>20%</t>
        </is>
      </c>
      <c r="F19" s="23" t="n">
        <v>0.0032</v>
      </c>
      <c r="G19" s="24">
        <f>C19*F19</f>
        <v/>
      </c>
      <c r="H19" s="25">
        <f>G19*0.25</f>
        <v/>
      </c>
      <c r="I19" s="26">
        <f>G19*0.10</f>
        <v/>
      </c>
      <c r="J19" s="27">
        <f>G19+H19+I19</f>
        <v/>
      </c>
    </row>
    <row r="20" ht="24" customHeight="1">
      <c r="B20" s="12" t="inlineStr">
        <is>
          <t>CDC Monitoring (weeks)</t>
        </is>
      </c>
      <c r="C20" s="21" t="n">
        <v>12</v>
      </c>
      <c r="D20" s="28" t="inlineStr">
        <is>
          <t>8.00 hrs/week</t>
        </is>
      </c>
      <c r="E20" s="28" t="inlineStr">
        <is>
          <t>30%</t>
        </is>
      </c>
      <c r="F20" s="29" t="n">
        <v>5.6</v>
      </c>
      <c r="G20" s="30">
        <f>C20*F20</f>
        <v/>
      </c>
      <c r="H20" s="25">
        <f>G20*0.25</f>
        <v/>
      </c>
      <c r="I20" s="26">
        <f>G20*0.10</f>
        <v/>
      </c>
      <c r="J20" s="27">
        <f>G20+H20+I20</f>
        <v/>
      </c>
    </row>
    <row r="21" ht="24" customHeight="1">
      <c r="B21" s="20" t="inlineStr">
        <is>
          <t>Warm History — Tier 2 (GB)</t>
        </is>
      </c>
      <c r="C21" s="21" t="n">
        <v>12000</v>
      </c>
      <c r="D21" s="22" t="inlineStr">
        <is>
          <t>0.0030 hrs/GB</t>
        </is>
      </c>
      <c r="E21" s="22" t="inlineStr">
        <is>
          <t>40%</t>
        </is>
      </c>
      <c r="F21" s="23" t="n">
        <v>0.0018</v>
      </c>
      <c r="G21" s="24">
        <f>C21*F21</f>
        <v/>
      </c>
      <c r="H21" s="25">
        <f>G21*0.25</f>
        <v/>
      </c>
      <c r="I21" s="26">
        <f>G21*0.10</f>
        <v/>
      </c>
      <c r="J21" s="27">
        <f>G21+H21+I21</f>
        <v/>
      </c>
    </row>
    <row r="22" ht="24" customHeight="1">
      <c r="B22" s="12" t="inlineStr">
        <is>
          <t>Cold Archive — Tier 3 (GB)</t>
        </is>
      </c>
      <c r="C22" s="21" t="n">
        <v>35000</v>
      </c>
      <c r="D22" s="28" t="inlineStr">
        <is>
          <t>0.0010 hrs/GB</t>
        </is>
      </c>
      <c r="E22" s="28" t="inlineStr">
        <is>
          <t>50%</t>
        </is>
      </c>
      <c r="F22" s="29" t="n">
        <v>0.0005</v>
      </c>
      <c r="G22" s="30">
        <f>C22*F22</f>
        <v/>
      </c>
      <c r="H22" s="25">
        <f>G22*0.25</f>
        <v/>
      </c>
      <c r="I22" s="26">
        <f>G22*0.10</f>
        <v/>
      </c>
      <c r="J22" s="27">
        <f>G22+H22+I22</f>
        <v/>
      </c>
    </row>
    <row r="23" ht="24" customHeight="1">
      <c r="B23" s="20" t="inlineStr">
        <is>
          <t>Tables to Validate</t>
        </is>
      </c>
      <c r="C23" s="21" t="n">
        <v>500</v>
      </c>
      <c r="D23" s="22" t="inlineStr">
        <is>
          <t>0.25 hrs/table</t>
        </is>
      </c>
      <c r="E23" s="22" t="inlineStr">
        <is>
          <t>70%</t>
        </is>
      </c>
      <c r="F23" s="23" t="n">
        <v>0.075</v>
      </c>
      <c r="G23" s="24">
        <f>C23*F23</f>
        <v/>
      </c>
      <c r="H23" s="25">
        <f>G23*0.25</f>
        <v/>
      </c>
      <c r="I23" s="26">
        <f>G23*0.10</f>
        <v/>
      </c>
      <c r="J23" s="27">
        <f>G23+H23+I23</f>
        <v/>
      </c>
    </row>
    <row r="24" ht="24" customHeight="1">
      <c r="B24" s="12" t="inlineStr">
        <is>
          <t>Cutover Rehearsals</t>
        </is>
      </c>
      <c r="C24" s="21" t="n">
        <v>2</v>
      </c>
      <c r="D24" s="28" t="inlineStr">
        <is>
          <t>32 hrs/each</t>
        </is>
      </c>
      <c r="E24" s="28" t="inlineStr">
        <is>
          <t>20%</t>
        </is>
      </c>
      <c r="F24" s="29" t="n">
        <v>25.6</v>
      </c>
      <c r="G24" s="30">
        <f>C24*F24</f>
        <v/>
      </c>
      <c r="H24" s="25">
        <f>G24*0.25</f>
        <v/>
      </c>
      <c r="I24" s="26">
        <f>G24*0.10</f>
        <v/>
      </c>
      <c r="J24" s="27">
        <f>G24+H24+I24</f>
        <v/>
      </c>
    </row>
    <row r="25" ht="24" customHeight="1">
      <c r="B25" s="20" t="inlineStr">
        <is>
          <t>DMS Infrastructure Setup (fixed)</t>
        </is>
      </c>
      <c r="C25" s="21" t="n">
        <v>1</v>
      </c>
      <c r="D25" s="22" t="inlineStr">
        <is>
          <t>24 hrs flat</t>
        </is>
      </c>
      <c r="E25" s="22" t="inlineStr">
        <is>
          <t>40%</t>
        </is>
      </c>
      <c r="F25" s="23" t="n">
        <v>14.4</v>
      </c>
      <c r="G25" s="24">
        <f>C25*F25</f>
        <v/>
      </c>
      <c r="H25" s="25">
        <f>G25*0.25</f>
        <v/>
      </c>
      <c r="I25" s="26">
        <f>G25*0.10</f>
        <v/>
      </c>
      <c r="J25" s="27">
        <f>G25+H25+I25</f>
        <v/>
      </c>
    </row>
    <row r="26" ht="26" customHeight="1">
      <c r="B26" s="31" t="inlineStr">
        <is>
          <t>DATA MIGRATION SUBTOTAL</t>
        </is>
      </c>
      <c r="G26" s="32">
        <f>SUM(G19,G20,G21,G22,G23,G24,G25)</f>
        <v/>
      </c>
      <c r="H26" s="32">
        <f>G26*0.25</f>
        <v/>
      </c>
      <c r="I26" s="32">
        <f>G26*0.10</f>
        <v/>
      </c>
      <c r="J26" s="32">
        <f>G26+H26+I26</f>
        <v/>
      </c>
    </row>
    <row r="28" ht="26" customHeight="1">
      <c r="B28" s="33" t="inlineStr">
        <is>
          <t>SECTION C — ETL / PIPELINE MIGRATION</t>
        </is>
      </c>
    </row>
    <row r="29" ht="24" customHeight="1">
      <c r="B29" s="34" t="inlineStr">
        <is>
          <t>ADF Copy Activity pipelines</t>
        </is>
      </c>
      <c r="C29" s="21" t="n">
        <v>45</v>
      </c>
      <c r="D29" s="35" t="inlineStr">
        <is>
          <t>2.0 hrs</t>
        </is>
      </c>
      <c r="E29" s="35" t="inlineStr">
        <is>
          <t>65%</t>
        </is>
      </c>
      <c r="F29" s="36" t="n">
        <v>0.7</v>
      </c>
      <c r="G29" s="37">
        <f>C29*F29</f>
        <v/>
      </c>
      <c r="H29" s="25">
        <f>G29*0.25</f>
        <v/>
      </c>
      <c r="I29" s="26">
        <f>G29*0.10</f>
        <v/>
      </c>
      <c r="J29" s="38">
        <f>G29+H29+I29</f>
        <v/>
      </c>
    </row>
    <row r="30" ht="24" customHeight="1">
      <c r="B30" s="12" t="inlineStr">
        <is>
          <t>ADF Stored Proc Activity</t>
        </is>
      </c>
      <c r="C30" s="21" t="n">
        <v>20</v>
      </c>
      <c r="D30" s="28" t="inlineStr">
        <is>
          <t>1.5 hrs</t>
        </is>
      </c>
      <c r="E30" s="28" t="inlineStr">
        <is>
          <t>65%</t>
        </is>
      </c>
      <c r="F30" s="29" t="n">
        <v>0.525</v>
      </c>
      <c r="G30" s="30">
        <f>C30*F30</f>
        <v/>
      </c>
      <c r="H30" s="25">
        <f>G30*0.25</f>
        <v/>
      </c>
      <c r="I30" s="26">
        <f>G30*0.10</f>
        <v/>
      </c>
      <c r="J30" s="38">
        <f>G30+H30+I30</f>
        <v/>
      </c>
    </row>
    <row r="31" ht="24" customHeight="1">
      <c r="B31" s="34" t="inlineStr">
        <is>
          <t>ADF REST/Web Activity</t>
        </is>
      </c>
      <c r="C31" s="21" t="n">
        <v>15</v>
      </c>
      <c r="D31" s="35" t="inlineStr">
        <is>
          <t>3.0 hrs</t>
        </is>
      </c>
      <c r="E31" s="35" t="inlineStr">
        <is>
          <t>55%</t>
        </is>
      </c>
      <c r="F31" s="36" t="n">
        <v>1.35</v>
      </c>
      <c r="G31" s="37">
        <f>C31*F31</f>
        <v/>
      </c>
      <c r="H31" s="25">
        <f>G31*0.25</f>
        <v/>
      </c>
      <c r="I31" s="26">
        <f>G31*0.10</f>
        <v/>
      </c>
      <c r="J31" s="38">
        <f>G31+H31+I31</f>
        <v/>
      </c>
    </row>
    <row r="32" ht="24" customHeight="1">
      <c r="B32" s="12" t="inlineStr">
        <is>
          <t>ADF Data Flow — Simple</t>
        </is>
      </c>
      <c r="C32" s="21" t="n">
        <v>30</v>
      </c>
      <c r="D32" s="28" t="inlineStr">
        <is>
          <t>4.0 hrs</t>
        </is>
      </c>
      <c r="E32" s="28" t="inlineStr">
        <is>
          <t>55%</t>
        </is>
      </c>
      <c r="F32" s="29" t="n">
        <v>1.8</v>
      </c>
      <c r="G32" s="30">
        <f>C32*F32</f>
        <v/>
      </c>
      <c r="H32" s="25">
        <f>G32*0.25</f>
        <v/>
      </c>
      <c r="I32" s="26">
        <f>G32*0.10</f>
        <v/>
      </c>
      <c r="J32" s="38">
        <f>G32+H32+I32</f>
        <v/>
      </c>
    </row>
    <row r="33" ht="24" customHeight="1">
      <c r="B33" s="34" t="inlineStr">
        <is>
          <t>ADF Data Flow — Complex</t>
        </is>
      </c>
      <c r="C33" s="21" t="n">
        <v>20</v>
      </c>
      <c r="D33" s="35" t="inlineStr">
        <is>
          <t>8.0 hrs</t>
        </is>
      </c>
      <c r="E33" s="35" t="inlineStr">
        <is>
          <t>40%</t>
        </is>
      </c>
      <c r="F33" s="36" t="n">
        <v>4.8</v>
      </c>
      <c r="G33" s="37">
        <f>C33*F33</f>
        <v/>
      </c>
      <c r="H33" s="25">
        <f>G33*0.25</f>
        <v/>
      </c>
      <c r="I33" s="26">
        <f>G33*0.10</f>
        <v/>
      </c>
      <c r="J33" s="38">
        <f>G33+H33+I33</f>
        <v/>
      </c>
    </row>
    <row r="34" ht="24" customHeight="1">
      <c r="B34" s="12" t="inlineStr">
        <is>
          <t>Custom .NET Activity</t>
        </is>
      </c>
      <c r="C34" s="21" t="n">
        <v>10</v>
      </c>
      <c r="D34" s="28" t="inlineStr">
        <is>
          <t>16.0 hrs</t>
        </is>
      </c>
      <c r="E34" s="28" t="inlineStr">
        <is>
          <t>35%</t>
        </is>
      </c>
      <c r="F34" s="29" t="n">
        <v>10.4</v>
      </c>
      <c r="G34" s="30">
        <f>C34*F34</f>
        <v/>
      </c>
      <c r="H34" s="25">
        <f>G34*0.25</f>
        <v/>
      </c>
      <c r="I34" s="26">
        <f>G34*0.10</f>
        <v/>
      </c>
      <c r="J34" s="38">
        <f>G34+H34+I34</f>
        <v/>
      </c>
    </row>
    <row r="35" ht="24" customHeight="1">
      <c r="B35" s="34" t="inlineStr">
        <is>
          <t>Azure-specific pipelines</t>
        </is>
      </c>
      <c r="C35" s="21" t="n">
        <v>8</v>
      </c>
      <c r="D35" s="35" t="inlineStr">
        <is>
          <t>24.0 hrs</t>
        </is>
      </c>
      <c r="E35" s="35" t="inlineStr">
        <is>
          <t>20%</t>
        </is>
      </c>
      <c r="F35" s="36" t="n">
        <v>19.2</v>
      </c>
      <c r="G35" s="37">
        <f>C35*F35</f>
        <v/>
      </c>
      <c r="H35" s="25">
        <f>G35*0.25</f>
        <v/>
      </c>
      <c r="I35" s="26">
        <f>G35*0.10</f>
        <v/>
      </c>
      <c r="J35" s="38">
        <f>G35+H35+I35</f>
        <v/>
      </c>
    </row>
    <row r="36" ht="24" customHeight="1">
      <c r="B36" s="12" t="inlineStr">
        <is>
          <t>Azure Functions → Lambda</t>
        </is>
      </c>
      <c r="C36" s="21" t="n">
        <v>15</v>
      </c>
      <c r="D36" s="28" t="inlineStr">
        <is>
          <t>8.0 hrs</t>
        </is>
      </c>
      <c r="E36" s="28" t="inlineStr">
        <is>
          <t>40%</t>
        </is>
      </c>
      <c r="F36" s="29" t="n">
        <v>4.8</v>
      </c>
      <c r="G36" s="30">
        <f>C36*F36</f>
        <v/>
      </c>
      <c r="H36" s="25">
        <f>G36*0.25</f>
        <v/>
      </c>
      <c r="I36" s="26">
        <f>G36*0.10</f>
        <v/>
      </c>
      <c r="J36" s="38">
        <f>G36+H36+I36</f>
        <v/>
      </c>
    </row>
    <row r="37" ht="24" customHeight="1">
      <c r="B37" s="34" t="inlineStr">
        <is>
          <t>ETL Parallel Validation</t>
        </is>
      </c>
      <c r="C37" s="21" t="n">
        <v>50</v>
      </c>
      <c r="D37" s="35" t="inlineStr">
        <is>
          <t>1.0 hrs</t>
        </is>
      </c>
      <c r="E37" s="35" t="inlineStr">
        <is>
          <t>55%</t>
        </is>
      </c>
      <c r="F37" s="36" t="n">
        <v>0.45</v>
      </c>
      <c r="G37" s="37">
        <f>C37*F37</f>
        <v/>
      </c>
      <c r="H37" s="25">
        <f>G37*0.25</f>
        <v/>
      </c>
      <c r="I37" s="26">
        <f>G37*0.10</f>
        <v/>
      </c>
      <c r="J37" s="38">
        <f>G37+H37+I37</f>
        <v/>
      </c>
    </row>
    <row r="38" ht="24" customHeight="1">
      <c r="B38" s="12" t="inlineStr">
        <is>
          <t>MWAA + Glue Setup (fixed)</t>
        </is>
      </c>
      <c r="C38" s="21" t="n">
        <v>1</v>
      </c>
      <c r="D38" s="28" t="inlineStr">
        <is>
          <t>24.0 hrs</t>
        </is>
      </c>
      <c r="E38" s="28" t="inlineStr">
        <is>
          <t>50%</t>
        </is>
      </c>
      <c r="F38" s="29" t="n">
        <v>12</v>
      </c>
      <c r="G38" s="30">
        <f>C38*F38</f>
        <v/>
      </c>
      <c r="H38" s="25">
        <f>G38*0.25</f>
        <v/>
      </c>
      <c r="I38" s="26">
        <f>G38*0.10</f>
        <v/>
      </c>
      <c r="J38" s="38">
        <f>G38+H38+I38</f>
        <v/>
      </c>
    </row>
    <row r="39" ht="26" customHeight="1">
      <c r="B39" s="39" t="inlineStr">
        <is>
          <t>ETL MIGRATION SUBTOTAL</t>
        </is>
      </c>
      <c r="G39" s="40">
        <f>SUM(G29,G30,G31,G32,G33,G34,G35,G36,G37,G38)</f>
        <v/>
      </c>
      <c r="H39" s="40">
        <f>G39*0.25</f>
        <v/>
      </c>
      <c r="I39" s="40">
        <f>G39*0.10</f>
        <v/>
      </c>
      <c r="J39" s="40">
        <f>G39+H39+I39</f>
        <v/>
      </c>
    </row>
    <row r="41" ht="26" customHeight="1">
      <c r="B41" s="41" t="inlineStr">
        <is>
          <t>SECTION D — TESTING + PROJECT MANAGEMENT  (all cells calculated)</t>
        </is>
      </c>
    </row>
    <row r="42" ht="20" customHeight="1">
      <c r="B42" s="42" t="inlineStr">
        <is>
          <t>Combined Base (Schema+Data+ETL Total)</t>
        </is>
      </c>
      <c r="J42" s="43">
        <f>J16+J26+J39</f>
        <v/>
      </c>
    </row>
    <row r="43" ht="24" customHeight="1">
      <c r="B43" s="44" t="inlineStr">
        <is>
          <t>Unit + Integration Testing  (18% of base, 55% AI saving)</t>
        </is>
      </c>
      <c r="G43" s="45">
        <f>J42*0.18*(1-0.55)</f>
        <v/>
      </c>
      <c r="H43" s="9">
        <f>G43*0.25</f>
        <v/>
      </c>
      <c r="I43" s="10">
        <f>G43*0.10</f>
        <v/>
      </c>
      <c r="J43" s="46">
        <f>G43+H43+I43</f>
        <v/>
      </c>
    </row>
    <row r="44" ht="24" customHeight="1">
      <c r="B44" s="12" t="inlineStr">
        <is>
          <t>Performance Benchmarking  (8% of base, 35% AI saving)</t>
        </is>
      </c>
      <c r="G44" s="15">
        <f>J42*0.08*(1-0.35)</f>
        <v/>
      </c>
      <c r="H44" s="9">
        <f>G44*0.25</f>
        <v/>
      </c>
      <c r="I44" s="10">
        <f>G44*0.10</f>
        <v/>
      </c>
      <c r="J44" s="46">
        <f>G44+H44+I44</f>
        <v/>
      </c>
    </row>
    <row r="45" ht="24" customHeight="1">
      <c r="B45" s="44" t="inlineStr">
        <is>
          <t>Regression — Ordering App  (12% of base, 30% AI saving)</t>
        </is>
      </c>
      <c r="G45" s="45">
        <f>J42*0.12*(1-0.3)</f>
        <v/>
      </c>
      <c r="H45" s="9">
        <f>G45*0.25</f>
        <v/>
      </c>
      <c r="I45" s="10">
        <f>G45*0.10</f>
        <v/>
      </c>
      <c r="J45" s="46">
        <f>G45+H45+I45</f>
        <v/>
      </c>
    </row>
    <row r="46" ht="24" customHeight="1">
      <c r="B46" s="12" t="inlineStr">
        <is>
          <t>Regression — Billing App  (15% of base, 30% AI saving)</t>
        </is>
      </c>
      <c r="G46" s="15">
        <f>J42*0.15*(1-0.3)</f>
        <v/>
      </c>
      <c r="H46" s="9">
        <f>G46*0.25</f>
        <v/>
      </c>
      <c r="I46" s="10">
        <f>G46*0.10</f>
        <v/>
      </c>
      <c r="J46" s="46">
        <f>G46+H46+I46</f>
        <v/>
      </c>
    </row>
    <row r="47" ht="24" customHeight="1">
      <c r="B47" s="44" t="inlineStr">
        <is>
          <t>UAT — Ordering (business users)  (10% of base, 5% AI saving)</t>
        </is>
      </c>
      <c r="G47" s="45">
        <f>J42*0.1*(1-0.05)</f>
        <v/>
      </c>
      <c r="H47" s="9">
        <f>G47*0.25</f>
        <v/>
      </c>
      <c r="I47" s="10">
        <f>G47*0.10</f>
        <v/>
      </c>
      <c r="J47" s="46">
        <f>G47+H47+I47</f>
        <v/>
      </c>
    </row>
    <row r="48" ht="24" customHeight="1">
      <c r="B48" s="12" t="inlineStr">
        <is>
          <t>UAT — Billing (business users + SME)  (14% of base, 5% AI saving)</t>
        </is>
      </c>
      <c r="G48" s="15">
        <f>J42*0.14*(1-0.05)</f>
        <v/>
      </c>
      <c r="H48" s="9">
        <f>G48*0.25</f>
        <v/>
      </c>
      <c r="I48" s="10">
        <f>G48*0.10</f>
        <v/>
      </c>
      <c r="J48" s="46">
        <f>G48+H48+I48</f>
        <v/>
      </c>
    </row>
    <row r="49" ht="24" customHeight="1">
      <c r="B49" s="44" t="inlineStr">
        <is>
          <t>Defect Management &amp; Fix Cycles  (15% of base, 40% AI saving)</t>
        </is>
      </c>
      <c r="G49" s="45">
        <f>J42*0.15*(1-0.4)</f>
        <v/>
      </c>
      <c r="H49" s="9">
        <f>G49*0.25</f>
        <v/>
      </c>
      <c r="I49" s="10">
        <f>G49*0.10</f>
        <v/>
      </c>
      <c r="J49" s="46">
        <f>G49+H49+I49</f>
        <v/>
      </c>
    </row>
    <row r="50" ht="24" customHeight="1">
      <c r="B50" s="12" t="inlineStr">
        <is>
          <t>Project Management &amp; Governance  (18% of base, 25% AI saving)</t>
        </is>
      </c>
      <c r="G50" s="15">
        <f>J42*0.18*(1-0.25)</f>
        <v/>
      </c>
      <c r="H50" s="9">
        <f>G50*0.25</f>
        <v/>
      </c>
      <c r="I50" s="10">
        <f>G50*0.10</f>
        <v/>
      </c>
      <c r="J50" s="46">
        <f>G50+H50+I50</f>
        <v/>
      </c>
    </row>
    <row r="51" ht="24" customHeight="1">
      <c r="B51" s="44" t="inlineStr">
        <is>
          <t>Knowledge Transfer &amp; Training  (8% of base, 40% AI saving)</t>
        </is>
      </c>
      <c r="G51" s="45">
        <f>J42*0.08*(1-0.4)</f>
        <v/>
      </c>
      <c r="H51" s="9">
        <f>G51*0.25</f>
        <v/>
      </c>
      <c r="I51" s="10">
        <f>G51*0.10</f>
        <v/>
      </c>
      <c r="J51" s="46">
        <f>G51+H51+I51</f>
        <v/>
      </c>
    </row>
    <row r="52" ht="26" customHeight="1">
      <c r="B52" s="47" t="inlineStr">
        <is>
          <t>TESTING + PM SUBTOTAL</t>
        </is>
      </c>
      <c r="G52" s="48">
        <f>SUM(G43,G44,G45,G46,G47,G48,G49,G50,G51)</f>
        <v/>
      </c>
      <c r="H52" s="48">
        <f>G52*0.25</f>
        <v/>
      </c>
      <c r="I52" s="48">
        <f>G52*0.10</f>
        <v/>
      </c>
      <c r="J52" s="48">
        <f>G52+H52+I52</f>
        <v/>
      </c>
    </row>
    <row r="54" ht="36" customHeight="1">
      <c r="B54" s="1" t="inlineStr">
        <is>
          <t>GRAND TOTAL</t>
        </is>
      </c>
      <c r="G54" s="49">
        <f>G16+G26+G39+G52</f>
        <v/>
      </c>
      <c r="H54" s="49">
        <f>H16+H26+H39+H52</f>
        <v/>
      </c>
      <c r="I54" s="49">
        <f>I16+I26+I39+I52</f>
        <v/>
      </c>
      <c r="J54" s="49">
        <f>J16+J26+J39+J52</f>
        <v/>
      </c>
    </row>
    <row r="55" ht="24" customHeight="1">
      <c r="B55" s="50" t="inlineStr">
        <is>
          <t>Total Days (÷ 8 hrs/day)</t>
        </is>
      </c>
      <c r="J55" s="51">
        <f>J54/8</f>
        <v/>
      </c>
    </row>
    <row r="56" ht="24" customHeight="1">
      <c r="B56" s="50" t="inlineStr">
        <is>
          <t>Calendar Weeks (6-person team, 240 hrs/week)</t>
        </is>
      </c>
      <c r="J56" s="52">
        <f>J54/240</f>
        <v/>
      </c>
    </row>
    <row r="58" ht="30" customHeight="1">
      <c r="B58" s="53" t="inlineStr">
        <is>
          <t>SDLC Buffer +25%: iteration cycles, rework, review  |  Risk Buffer +10%: telecom billing complexity  |  Yellow cells = your inputs only</t>
        </is>
      </c>
    </row>
  </sheetData>
  <mergeCells count="13">
    <mergeCell ref="B3:J3"/>
    <mergeCell ref="B39:F39"/>
    <mergeCell ref="B55:F55"/>
    <mergeCell ref="B16:F16"/>
    <mergeCell ref="B28:J28"/>
    <mergeCell ref="B54:F54"/>
    <mergeCell ref="B18:J18"/>
    <mergeCell ref="B1:J1"/>
    <mergeCell ref="B41:J41"/>
    <mergeCell ref="B58:J58"/>
    <mergeCell ref="B26:F26"/>
    <mergeCell ref="B56:F56"/>
    <mergeCell ref="B52:F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6" customWidth="1" min="3" max="3"/>
    <col width="18" customWidth="1" min="4" max="4"/>
    <col width="12" customWidth="1" min="5" max="5"/>
    <col width="14" customWidth="1" min="6" max="6"/>
    <col width="32" customWidth="1" min="7" max="7"/>
    <col width="42" customWidth="1" min="8" max="8"/>
    <col width="44" customWidth="1" min="9" max="9"/>
  </cols>
  <sheetData>
    <row r="1" ht="36" customHeight="1">
      <c r="B1" s="54" t="inlineStr">
        <is>
          <t>Rate Reference — Derivation Basis for All Effort Estimates</t>
        </is>
      </c>
    </row>
    <row r="2" ht="28" customHeight="1">
      <c r="B2" s="2" t="inlineStr">
        <is>
          <t>#</t>
        </is>
      </c>
      <c r="C2" s="2" t="inlineStr">
        <is>
          <t>Object / Activity</t>
        </is>
      </c>
      <c r="D2" s="2" t="inlineStr">
        <is>
          <t>Manual Rate</t>
        </is>
      </c>
      <c r="E2" s="2" t="inlineStr">
        <is>
          <t>AI Saving %</t>
        </is>
      </c>
      <c r="F2" s="2" t="inlineStr">
        <is>
          <t>AI-Adj Rate</t>
        </is>
      </c>
      <c r="G2" s="2" t="inlineStr">
        <is>
          <t>Source / Basis</t>
        </is>
      </c>
      <c r="H2" s="2" t="inlineStr">
        <is>
          <t>Calculation Logic</t>
        </is>
      </c>
      <c r="I2" s="2" t="inlineStr">
        <is>
          <t>Key Assumption</t>
        </is>
      </c>
    </row>
    <row r="3" ht="40" customHeight="1">
      <c r="B3" s="55" t="n">
        <v>1</v>
      </c>
      <c r="C3" s="56" t="inlineStr">
        <is>
          <t>Tables (SCT auto-convert + DBA review)</t>
        </is>
      </c>
      <c r="D3" s="56" t="inlineStr">
        <is>
          <t>0.40 hrs/table</t>
        </is>
      </c>
      <c r="E3" s="56" t="inlineStr">
        <is>
          <t>80%</t>
        </is>
      </c>
      <c r="F3" s="56" t="inlineStr">
        <is>
          <t>0.08 hrs</t>
        </is>
      </c>
      <c r="G3" s="56" t="inlineStr">
        <is>
          <t>AWS SCT benchmark + DBA review studies</t>
        </is>
      </c>
      <c r="H3" s="56" t="inlineStr">
        <is>
          <t>SCT 95% auto. DBA reviews ~10 min/table. 0.4 × 0.20 = 0.08 hrs.</t>
        </is>
      </c>
      <c r="I3" s="56" t="inlineStr">
        <is>
          <t>SCT handles DDL auto-conversion; DBA spot-checks constraints &amp; defaults.</t>
        </is>
      </c>
    </row>
    <row r="4" ht="40" customHeight="1">
      <c r="B4" s="57" t="n">
        <v>2</v>
      </c>
      <c r="C4" s="58" t="inlineStr">
        <is>
          <t>Views (SCT + manual T-SQL fix ~35%)</t>
        </is>
      </c>
      <c r="D4" s="58" t="inlineStr">
        <is>
          <t>1.50 hrs/view</t>
        </is>
      </c>
      <c r="E4" s="58" t="inlineStr">
        <is>
          <t>65%</t>
        </is>
      </c>
      <c r="F4" s="58" t="inlineStr">
        <is>
          <t>0.525 hrs</t>
        </is>
      </c>
      <c r="G4" s="58" t="inlineStr">
        <is>
          <t>SQL migration pattern library</t>
        </is>
      </c>
      <c r="H4" s="58" t="inlineStr">
        <is>
          <t>65% of views have T-SQL specifics needing manual rework. Devin fixes 65%.</t>
        </is>
      </c>
      <c r="I4" s="58" t="inlineStr">
        <is>
          <t>Views using NOLOCK hints, TOP, SQL Server functions need manual rewrite.</t>
        </is>
      </c>
    </row>
    <row r="5" ht="40" customHeight="1">
      <c r="B5" s="55" t="n">
        <v>3</v>
      </c>
      <c r="C5" s="56" t="inlineStr">
        <is>
          <t>Indexes (clustered → B-tree strategy)</t>
        </is>
      </c>
      <c r="D5" s="56" t="inlineStr">
        <is>
          <t>0.50 hrs/group</t>
        </is>
      </c>
      <c r="E5" s="56" t="inlineStr">
        <is>
          <t>50%</t>
        </is>
      </c>
      <c r="F5" s="56" t="inlineStr">
        <is>
          <t>0.25 hrs</t>
        </is>
      </c>
      <c r="G5" s="56" t="inlineStr">
        <is>
          <t>PostgreSQL B-tree equivalence docs</t>
        </is>
      </c>
      <c r="H5" s="56" t="inlineStr">
        <is>
          <t>Clustered → PG heap + B-tree. DBA review 15 min/group after AI draft.</t>
        </is>
      </c>
      <c r="I5" s="56" t="inlineStr">
        <is>
          <t>Covering indexes and filtered indexes need special attention.</t>
        </is>
      </c>
    </row>
    <row r="6" ht="40" customHeight="1">
      <c r="B6" s="57" t="n">
        <v>4</v>
      </c>
      <c r="C6" s="58" t="inlineStr">
        <is>
          <t>SPs — Simple CRUD (Devin autonomous)</t>
        </is>
      </c>
      <c r="D6" s="58" t="inlineStr">
        <is>
          <t>0.67 hrs/SP</t>
        </is>
      </c>
      <c r="E6" s="58" t="inlineStr">
        <is>
          <t>75%</t>
        </is>
      </c>
      <c r="F6" s="58" t="inlineStr">
        <is>
          <t>0.168 hrs</t>
        </is>
      </c>
      <c r="G6" s="58" t="inlineStr">
        <is>
          <t>Nubank/Devin published benchmark</t>
        </is>
      </c>
      <c r="H6" s="58" t="inlineStr">
        <is>
          <t>Nubank/Devin benchmark: 10 min/SP after fine-tuning = 0.67 hrs base.</t>
        </is>
      </c>
      <c r="I6" s="58" t="inlineStr">
        <is>
          <t>Assumes Devin fine-tuned on PL/pgSQL patterns before sprint start.</t>
        </is>
      </c>
    </row>
    <row r="7" ht="40" customHeight="1">
      <c r="B7" s="55" t="n">
        <v>5</v>
      </c>
      <c r="C7" s="56" t="inlineStr">
        <is>
          <t>SPs — Business Logic (Devin+DBA review)</t>
        </is>
      </c>
      <c r="D7" s="56" t="inlineStr">
        <is>
          <t>1.50 hrs/SP</t>
        </is>
      </c>
      <c r="E7" s="56" t="inlineStr">
        <is>
          <t>65%</t>
        </is>
      </c>
      <c r="F7" s="56" t="inlineStr">
        <is>
          <t>0.525 hrs</t>
        </is>
      </c>
      <c r="G7" s="56" t="inlineStr">
        <is>
          <t>Internal DBA time-and-motion study</t>
        </is>
      </c>
      <c r="H7" s="56" t="inlineStr">
        <is>
          <t>Devin: 25 min/SP AI-adjusted. Full DBA review adds ~10 min/SP.</t>
        </is>
      </c>
      <c r="I7" s="56" t="inlineStr">
        <is>
          <t>Contains billing rate lookups, conditional logic, temp tables.</t>
        </is>
      </c>
    </row>
    <row r="8" ht="40" customHeight="1">
      <c r="B8" s="57" t="n">
        <v>6</v>
      </c>
      <c r="C8" s="58" t="inlineStr">
        <is>
          <t>SPs — Complex (DBA manual + GHCP)</t>
        </is>
      </c>
      <c r="D8" s="58" t="inlineStr">
        <is>
          <t>4.00 hrs/SP</t>
        </is>
      </c>
      <c r="E8" s="58" t="inlineStr">
        <is>
          <t>40%</t>
        </is>
      </c>
      <c r="F8" s="58" t="inlineStr">
        <is>
          <t>2.4 hrs</t>
        </is>
      </c>
      <c r="G8" s="58" t="inlineStr">
        <is>
          <t>Telecom DB migration case studies</t>
        </is>
      </c>
      <c r="H8" s="58" t="inlineStr">
        <is>
          <t>DBA writes PL/pgSQL + GHCP inline. 90 min/SP AI-adjusted.</t>
        </is>
      </c>
      <c r="I8" s="58" t="inlineStr">
        <is>
          <t>Linked server calls, dynamic SQL, multi-step transactions.</t>
        </is>
      </c>
    </row>
    <row r="9" ht="40" customHeight="1">
      <c r="B9" s="55" t="n">
        <v>7</v>
      </c>
      <c r="C9" s="56" t="inlineStr">
        <is>
          <t>SPs — CLR Objects (full redesign)</t>
        </is>
      </c>
      <c r="D9" s="56" t="inlineStr">
        <is>
          <t>8.00 hrs/obj</t>
        </is>
      </c>
      <c r="E9" s="56" t="inlineStr">
        <is>
          <t>20%</t>
        </is>
      </c>
      <c r="F9" s="56" t="inlineStr">
        <is>
          <t>6.4 hrs</t>
        </is>
      </c>
      <c r="G9" s="56" t="inlineStr">
        <is>
          <t>PostgreSQL extension equivalence matrix</t>
        </is>
      </c>
      <c r="H9" s="56" t="inlineStr">
        <is>
          <t>Architecture redesign. No direct PG equivalent. 6.4 hrs/object.</t>
        </is>
      </c>
      <c r="I9" s="56" t="inlineStr">
        <is>
          <t>CLR replaced by custom PG extensions, PL/Python, or Lambda sidecars.</t>
        </is>
      </c>
    </row>
    <row r="10" ht="40" customHeight="1">
      <c r="B10" s="57" t="n">
        <v>8</v>
      </c>
      <c r="C10" s="58" t="inlineStr">
        <is>
          <t>Functions — Scalar + TVF</t>
        </is>
      </c>
      <c r="D10" s="58" t="inlineStr">
        <is>
          <t>1.00 hrs/fn</t>
        </is>
      </c>
      <c r="E10" s="58" t="inlineStr">
        <is>
          <t>65%</t>
        </is>
      </c>
      <c r="F10" s="58" t="inlineStr">
        <is>
          <t>0.35 hrs</t>
        </is>
      </c>
      <c r="G10" s="58" t="inlineStr">
        <is>
          <t>T-SQL to PL/pgSQL function mapping guide</t>
        </is>
      </c>
      <c r="H10" s="58" t="inlineStr">
        <is>
          <t>Scalar: direct rewrite. TVF: SRF in PG. Devin handles 65% autonomously.</t>
        </is>
      </c>
      <c r="I10" s="58" t="inlineStr">
        <is>
          <t>Aggregates and window functions need manual verification.</t>
        </is>
      </c>
    </row>
    <row r="11" ht="40" customHeight="1">
      <c r="B11" s="55" t="n">
        <v>9</v>
      </c>
      <c r="C11" s="56" t="inlineStr">
        <is>
          <t>Triggers</t>
        </is>
      </c>
      <c r="D11" s="56" t="inlineStr">
        <is>
          <t>2.00 hrs/trigger</t>
        </is>
      </c>
      <c r="E11" s="56" t="inlineStr">
        <is>
          <t>45%</t>
        </is>
      </c>
      <c r="F11" s="56" t="inlineStr">
        <is>
          <t>1.1 hrs</t>
        </is>
      </c>
      <c r="G11" s="56" t="inlineStr">
        <is>
          <t>DBA trigger migration benchmarks</t>
        </is>
      </c>
      <c r="H11" s="56" t="inlineStr">
        <is>
          <t>INSTEAD OF triggers → PG rules or triggers. Devin drafts, DBA verifies.</t>
        </is>
      </c>
      <c r="I11" s="56" t="inlineStr">
        <is>
          <t>Billing audit triggers are most complex — plan extra review time.</t>
        </is>
      </c>
    </row>
    <row r="12" ht="40" customHeight="1">
      <c r="B12" s="57" t="n">
        <v>10</v>
      </c>
      <c r="C12" s="58" t="inlineStr">
        <is>
          <t>SQL Agent Jobs</t>
        </is>
      </c>
      <c r="D12" s="58" t="inlineStr">
        <is>
          <t>2.00 hrs/job</t>
        </is>
      </c>
      <c r="E12" s="58" t="inlineStr">
        <is>
          <t>60%</t>
        </is>
      </c>
      <c r="F12" s="58" t="inlineStr">
        <is>
          <t>0.8 hrs</t>
        </is>
      </c>
      <c r="G12" s="58" t="inlineStr">
        <is>
          <t>AWS EventBridge + Lambda patterns</t>
        </is>
      </c>
      <c r="H12" s="58" t="inlineStr">
        <is>
          <t>Jobs → EventBridge Scheduler + Lambda. Devin generates boilerplate.</t>
        </is>
      </c>
      <c r="I12" s="58" t="inlineStr">
        <is>
          <t>Multi-step jobs with notifications need custom Lambda error handling.</t>
        </is>
      </c>
    </row>
    <row r="13" ht="40" customHeight="1">
      <c r="B13" s="55" t="n">
        <v>11</v>
      </c>
      <c r="C13" s="56" t="inlineStr">
        <is>
          <t>Security Roles / Logins</t>
        </is>
      </c>
      <c r="D13" s="56" t="inlineStr">
        <is>
          <t>0.50 hrs/role</t>
        </is>
      </c>
      <c r="E13" s="56" t="inlineStr">
        <is>
          <t>65%</t>
        </is>
      </c>
      <c r="F13" s="56" t="inlineStr">
        <is>
          <t>0.175 hrs</t>
        </is>
      </c>
      <c r="G13" s="56" t="inlineStr">
        <is>
          <t>AWS IAM + RDS role mapping guide</t>
        </is>
      </c>
      <c r="H13" s="56" t="inlineStr">
        <is>
          <t>SQL Server logins → RDS IAM auth. Scripted by GHCP after template.</t>
        </is>
      </c>
      <c r="I13" s="56" t="inlineStr">
        <is>
          <t>Windows-integrated logins require special Kerberos/IAM bridge setup.</t>
        </is>
      </c>
    </row>
    <row r="14" ht="40" customHeight="1">
      <c r="B14" s="57" t="n">
        <v>12</v>
      </c>
      <c r="C14" s="58" t="inlineStr">
        <is>
          <t>Devin Fine-Tuning (FIXED — mandatory)</t>
        </is>
      </c>
      <c r="D14" s="58" t="inlineStr">
        <is>
          <t>80 hrs flat</t>
        </is>
      </c>
      <c r="E14" s="58" t="inlineStr">
        <is>
          <t>0%</t>
        </is>
      </c>
      <c r="F14" s="58" t="inlineStr">
        <is>
          <t>80 hrs</t>
        </is>
      </c>
      <c r="G14" s="58" t="inlineStr">
        <is>
          <t>Devin AI onboarding documentation</t>
        </is>
      </c>
      <c r="H14" s="58" t="inlineStr">
        <is>
          <t>One-time cost: load SP corpus, run sample conversions, validate output quality.</t>
        </is>
      </c>
      <c r="I14" s="58" t="inlineStr">
        <is>
          <t>Must be completed before any SP sprint. Amortized across all SP work.</t>
        </is>
      </c>
    </row>
    <row r="15" ht="40" customHeight="1">
      <c r="B15" s="55" t="n">
        <v>13</v>
      </c>
      <c r="C15" s="56" t="inlineStr">
        <is>
          <t>App DB Size — Tier 1 (GB)</t>
        </is>
      </c>
      <c r="D15" s="56" t="inlineStr">
        <is>
          <t>0.0040 hrs/GB</t>
        </is>
      </c>
      <c r="E15" s="56" t="inlineStr">
        <is>
          <t>20%</t>
        </is>
      </c>
      <c r="F15" s="56" t="inlineStr">
        <is>
          <t>0.0032 hrs/GB</t>
        </is>
      </c>
      <c r="G15" s="56" t="inlineStr">
        <is>
          <t>AWS DMS throughput benchmarks</t>
        </is>
      </c>
      <c r="H15" s="56" t="inlineStr">
        <is>
          <t>Full-load DMS at ~100 GB/hr. Monitoring &amp; validation overhead adds 0.004 hrs/GB.</t>
        </is>
      </c>
      <c r="I15" s="56" t="inlineStr">
        <is>
          <t>Tier 1 = active transactional data. Requires near-zero downtime cutover.</t>
        </is>
      </c>
    </row>
    <row r="16" ht="40" customHeight="1">
      <c r="B16" s="59" t="n">
        <v>14</v>
      </c>
      <c r="C16" s="60" t="inlineStr">
        <is>
          <t>CDC Monitoring (weeks)</t>
        </is>
      </c>
      <c r="D16" s="60" t="inlineStr">
        <is>
          <t>8.0 hrs/week</t>
        </is>
      </c>
      <c r="E16" s="60" t="inlineStr">
        <is>
          <t>30%</t>
        </is>
      </c>
      <c r="F16" s="60" t="inlineStr">
        <is>
          <t>5.6 hrs/wk</t>
        </is>
      </c>
      <c r="G16" s="60" t="inlineStr">
        <is>
          <t>Telecom billing CDC case studies</t>
        </is>
      </c>
      <c r="H16" s="60" t="inlineStr">
        <is>
          <t>8 hrs/week base. GHCP dashboards save 30%. Telecom = 12–16 weeks.</t>
        </is>
      </c>
      <c r="I16" s="60" t="inlineStr">
        <is>
          <t>High-TPS billing DBs need extended CDC validation before cutover.</t>
        </is>
      </c>
    </row>
    <row r="17" ht="40" customHeight="1">
      <c r="B17" s="55" t="n">
        <v>15</v>
      </c>
      <c r="C17" s="56" t="inlineStr">
        <is>
          <t>Warm History — Tier 2 (GB)</t>
        </is>
      </c>
      <c r="D17" s="56" t="inlineStr">
        <is>
          <t>0.0030 hrs/GB</t>
        </is>
      </c>
      <c r="E17" s="56" t="inlineStr">
        <is>
          <t>40%</t>
        </is>
      </c>
      <c r="F17" s="56" t="inlineStr">
        <is>
          <t>0.0018 hrs/GB</t>
        </is>
      </c>
      <c r="G17" s="56" t="inlineStr">
        <is>
          <t>S3 bulk transfer benchmarks</t>
        </is>
      </c>
      <c r="H17" s="56" t="inlineStr">
        <is>
          <t>Batch load via S3 + COPY. Less monitoring overhead than Tier 1.</t>
        </is>
      </c>
      <c r="I17" s="56" t="inlineStr">
        <is>
          <t>Last 12 months of billing history. Needed for billing disputes.</t>
        </is>
      </c>
    </row>
    <row r="18" ht="40" customHeight="1">
      <c r="B18" s="59" t="n">
        <v>16</v>
      </c>
      <c r="C18" s="60" t="inlineStr">
        <is>
          <t>Cold Archive — Tier 3 (GB)</t>
        </is>
      </c>
      <c r="D18" s="60" t="inlineStr">
        <is>
          <t>0.0010 hrs/GB</t>
        </is>
      </c>
      <c r="E18" s="60" t="inlineStr">
        <is>
          <t>50%</t>
        </is>
      </c>
      <c r="F18" s="60" t="inlineStr">
        <is>
          <t>0.0005 hrs/GB</t>
        </is>
      </c>
      <c r="G18" s="60" t="inlineStr">
        <is>
          <t>Glacier to Aurora migration patterns</t>
        </is>
      </c>
      <c r="H18" s="60" t="inlineStr">
        <is>
          <t>Bulk S3 → Aurora load. Minimal validation. Scripts auto-generated.</t>
        </is>
      </c>
      <c r="I18" s="60" t="inlineStr">
        <is>
          <t>7+ year archive. Regulatory hold. Load once, read rarely.</t>
        </is>
      </c>
    </row>
    <row r="19" ht="40" customHeight="1">
      <c r="B19" s="55" t="n">
        <v>17</v>
      </c>
      <c r="C19" s="56" t="inlineStr">
        <is>
          <t>Tables to Validate</t>
        </is>
      </c>
      <c r="D19" s="56" t="inlineStr">
        <is>
          <t>0.25 hrs/table</t>
        </is>
      </c>
      <c r="E19" s="56" t="inlineStr">
        <is>
          <t>70%</t>
        </is>
      </c>
      <c r="F19" s="56" t="inlineStr">
        <is>
          <t>0.075 hrs</t>
        </is>
      </c>
      <c r="G19" s="56" t="inlineStr">
        <is>
          <t>Data quality framework benchmarks</t>
        </is>
      </c>
      <c r="H19" s="56" t="inlineStr">
        <is>
          <t>GHCP generates row-count, checksum, and sample comparison scripts.</t>
        </is>
      </c>
      <c r="I19" s="56" t="inlineStr">
        <is>
          <t>Focus extra manual time on billing totals and order history tables.</t>
        </is>
      </c>
    </row>
    <row r="20" ht="40" customHeight="1">
      <c r="B20" s="59" t="n">
        <v>18</v>
      </c>
      <c r="C20" s="60" t="inlineStr">
        <is>
          <t>Cutover Rehearsals</t>
        </is>
      </c>
      <c r="D20" s="60" t="inlineStr">
        <is>
          <t>32 hrs/each</t>
        </is>
      </c>
      <c r="E20" s="60" t="inlineStr">
        <is>
          <t>20%</t>
        </is>
      </c>
      <c r="F20" s="60" t="inlineStr">
        <is>
          <t>25.6 hrs</t>
        </is>
      </c>
      <c r="G20" s="60" t="inlineStr">
        <is>
          <t>Enterprise DB cutover runbook standards</t>
        </is>
      </c>
      <c r="H20" s="60" t="inlineStr">
        <is>
          <t>Full dress rehearsal: stop writes, drain CDC, verify, cutover, smoke test.</t>
        </is>
      </c>
      <c r="I20" s="60" t="inlineStr">
        <is>
          <t>Minimum 2 rehearsals recommended. Telecom billing = 3 recommended.</t>
        </is>
      </c>
    </row>
    <row r="21" ht="40" customHeight="1">
      <c r="B21" s="55" t="n">
        <v>19</v>
      </c>
      <c r="C21" s="56" t="inlineStr">
        <is>
          <t>DMS Infrastructure Setup (fixed)</t>
        </is>
      </c>
      <c r="D21" s="56" t="inlineStr">
        <is>
          <t>24 hrs flat</t>
        </is>
      </c>
      <c r="E21" s="56" t="inlineStr">
        <is>
          <t>40%</t>
        </is>
      </c>
      <c r="F21" s="56" t="inlineStr">
        <is>
          <t>14.4 hrs</t>
        </is>
      </c>
      <c r="G21" s="56" t="inlineStr">
        <is>
          <t>AWS DMS setup documentation</t>
        </is>
      </c>
      <c r="H21" s="56" t="inlineStr">
        <is>
          <t>VPC peering, replication instance sizing, endpoint config, IAM roles.</t>
        </is>
      </c>
      <c r="I21" s="56" t="inlineStr">
        <is>
          <t>One-time. Reused across all DB migrations in the program.</t>
        </is>
      </c>
    </row>
    <row r="22" ht="40" customHeight="1">
      <c r="B22" s="61" t="n">
        <v>20</v>
      </c>
      <c r="C22" s="62" t="inlineStr">
        <is>
          <t>ADF Copy Activity pipelines</t>
        </is>
      </c>
      <c r="D22" s="62" t="inlineStr">
        <is>
          <t>2.0 hrs</t>
        </is>
      </c>
      <c r="E22" s="62" t="inlineStr">
        <is>
          <t>65%</t>
        </is>
      </c>
      <c r="F22" s="62" t="inlineStr">
        <is>
          <t>0.7 hrs</t>
        </is>
      </c>
      <c r="G22" s="62" t="inlineStr">
        <is>
          <t>Devin ADF→Airflow benchmark</t>
        </is>
      </c>
      <c r="H22" s="62" t="inlineStr">
        <is>
          <t>Devin reads ADF JSON → Airflow DAG → tests → PR. 42 min/pipeline.</t>
        </is>
      </c>
      <c r="I22" s="62" t="inlineStr">
        <is>
          <t>Simple source→sink copies. Devin handles 95% of code generation.</t>
        </is>
      </c>
    </row>
    <row r="23" ht="40" customHeight="1">
      <c r="B23" s="55" t="n">
        <v>21</v>
      </c>
      <c r="C23" s="56" t="inlineStr">
        <is>
          <t>ADF Stored Proc Activity</t>
        </is>
      </c>
      <c r="D23" s="56" t="inlineStr">
        <is>
          <t>1.5 hrs</t>
        </is>
      </c>
      <c r="E23" s="56" t="inlineStr">
        <is>
          <t>65%</t>
        </is>
      </c>
      <c r="F23" s="56" t="inlineStr">
        <is>
          <t>0.525 hrs</t>
        </is>
      </c>
      <c r="G23" s="56" t="inlineStr">
        <is>
          <t>MWAA DAG conversion patterns</t>
        </is>
      </c>
      <c r="H23" s="56" t="inlineStr">
        <is>
          <t>SP call → Lambda invocation or Glue job. Devin generates wrapper.</t>
        </is>
      </c>
      <c r="I23" s="56" t="inlineStr">
        <is>
          <t>Ensure SP has been migrated first before converting the pipeline.</t>
        </is>
      </c>
    </row>
    <row r="24" ht="40" customHeight="1">
      <c r="B24" s="61" t="n">
        <v>22</v>
      </c>
      <c r="C24" s="62" t="inlineStr">
        <is>
          <t>ADF REST/Web Activity</t>
        </is>
      </c>
      <c r="D24" s="62" t="inlineStr">
        <is>
          <t>3.0 hrs</t>
        </is>
      </c>
      <c r="E24" s="62" t="inlineStr">
        <is>
          <t>55%</t>
        </is>
      </c>
      <c r="F24" s="62" t="inlineStr">
        <is>
          <t>1.35 hrs</t>
        </is>
      </c>
      <c r="G24" s="62" t="inlineStr">
        <is>
          <t>API integration migration benchmarks</t>
        </is>
      </c>
      <c r="H24" s="62" t="inlineStr">
        <is>
          <t>REST calls to external APIs. Devin generates Python requests equivalent.</t>
        </is>
      </c>
      <c r="I24" s="62" t="inlineStr">
        <is>
          <t>Check auth patterns — OAuth tokens may need refresh logic update.</t>
        </is>
      </c>
    </row>
    <row r="25" ht="40" customHeight="1">
      <c r="B25" s="55" t="n">
        <v>23</v>
      </c>
      <c r="C25" s="56" t="inlineStr">
        <is>
          <t>ADF Data Flow — Simple</t>
        </is>
      </c>
      <c r="D25" s="56" t="inlineStr">
        <is>
          <t>4.0 hrs</t>
        </is>
      </c>
      <c r="E25" s="56" t="inlineStr">
        <is>
          <t>55%</t>
        </is>
      </c>
      <c r="F25" s="56" t="inlineStr">
        <is>
          <t>1.8 hrs</t>
        </is>
      </c>
      <c r="G25" s="56" t="inlineStr">
        <is>
          <t>Glue visual ETL migration guide</t>
        </is>
      </c>
      <c r="H25" s="56" t="inlineStr">
        <is>
          <t>Simple transforms → Glue visual ETL or Spark job. Devin drafts.</t>
        </is>
      </c>
      <c r="I25" s="56" t="inlineStr">
        <is>
          <t>Column mappings, type casts, simple filters. DBA validates output.</t>
        </is>
      </c>
    </row>
    <row r="26" ht="40" customHeight="1">
      <c r="B26" s="61" t="n">
        <v>24</v>
      </c>
      <c r="C26" s="62" t="inlineStr">
        <is>
          <t>ADF Data Flow — Complex</t>
        </is>
      </c>
      <c r="D26" s="62" t="inlineStr">
        <is>
          <t>8.0 hrs</t>
        </is>
      </c>
      <c r="E26" s="62" t="inlineStr">
        <is>
          <t>40%</t>
        </is>
      </c>
      <c r="F26" s="62" t="inlineStr">
        <is>
          <t>4.8 hrs</t>
        </is>
      </c>
      <c r="G26" s="62" t="inlineStr">
        <is>
          <t>Telecom billing ETL complexity matrix</t>
        </is>
      </c>
      <c r="H26" s="62" t="inlineStr">
        <is>
          <t>Billing flows = complex. Budget 6–8 hrs each.</t>
        </is>
      </c>
      <c r="I26" s="62" t="inlineStr">
        <is>
          <t>Multi-join, lookup, conditional split. Manual DBA + GHCP rewrite.</t>
        </is>
      </c>
    </row>
    <row r="27" ht="40" customHeight="1">
      <c r="B27" s="55" t="n">
        <v>25</v>
      </c>
      <c r="C27" s="56" t="inlineStr">
        <is>
          <t>Custom .NET Activity</t>
        </is>
      </c>
      <c r="D27" s="56" t="inlineStr">
        <is>
          <t>16.0 hrs</t>
        </is>
      </c>
      <c r="E27" s="56" t="inlineStr">
        <is>
          <t>35%</t>
        </is>
      </c>
      <c r="F27" s="56" t="inlineStr">
        <is>
          <t>10.4 hrs</t>
        </is>
      </c>
      <c r="G27" s="56" t="inlineStr">
        <is>
          <t>Lambda rewrite benchmark</t>
        </is>
      </c>
      <c r="H27" s="56" t="inlineStr">
        <is>
          <t>Complete Python/Lambda rewrite. GHCP reduces typing 35%.</t>
        </is>
      </c>
      <c r="I27" s="56" t="inlineStr">
        <is>
          <t>Business logic must be re-validated end-to-end. No shortcut.</t>
        </is>
      </c>
    </row>
    <row r="28" ht="40" customHeight="1">
      <c r="B28" s="61" t="n">
        <v>26</v>
      </c>
      <c r="C28" s="62" t="inlineStr">
        <is>
          <t>Azure-specific pipelines</t>
        </is>
      </c>
      <c r="D28" s="62" t="inlineStr">
        <is>
          <t>24.0 hrs</t>
        </is>
      </c>
      <c r="E28" s="62" t="inlineStr">
        <is>
          <t>20%</t>
        </is>
      </c>
      <c r="F28" s="62" t="inlineStr">
        <is>
          <t>19.2 hrs</t>
        </is>
      </c>
      <c r="G28" s="62" t="inlineStr">
        <is>
          <t>Azure→AWS architecture mapping</t>
        </is>
      </c>
      <c r="H28" s="62" t="inlineStr">
        <is>
          <t>Event Grid → EventBridge, Service Bus → SQS/SNS. Low AI coverage.</t>
        </is>
      </c>
      <c r="I28" s="62" t="inlineStr">
        <is>
          <t>Azure-native services have no 1:1 AWS equivalent. Architecture review needed.</t>
        </is>
      </c>
    </row>
    <row r="29" ht="40" customHeight="1">
      <c r="B29" s="55" t="n">
        <v>27</v>
      </c>
      <c r="C29" s="56" t="inlineStr">
        <is>
          <t>Azure Functions → Lambda</t>
        </is>
      </c>
      <c r="D29" s="56" t="inlineStr">
        <is>
          <t>8.0 hrs</t>
        </is>
      </c>
      <c r="E29" s="56" t="inlineStr">
        <is>
          <t>40%</t>
        </is>
      </c>
      <c r="F29" s="56" t="inlineStr">
        <is>
          <t>4.8 hrs</t>
        </is>
      </c>
      <c r="G29" s="56" t="inlineStr">
        <is>
          <t>Serverless migration playbook</t>
        </is>
      </c>
      <c r="H29" s="56" t="inlineStr">
        <is>
          <t>Devin converts C# trigger → Python Lambda. Handler + IAM role included.</t>
        </is>
      </c>
      <c r="I29" s="56" t="inlineStr">
        <is>
          <t>Billing event triggers are highest risk — validate trigger timing carefully.</t>
        </is>
      </c>
    </row>
    <row r="30" ht="40" customHeight="1">
      <c r="B30" s="61" t="n">
        <v>28</v>
      </c>
      <c r="C30" s="62" t="inlineStr">
        <is>
          <t>ETL Parallel Validation</t>
        </is>
      </c>
      <c r="D30" s="62" t="inlineStr">
        <is>
          <t>1.0 hrs</t>
        </is>
      </c>
      <c r="E30" s="62" t="inlineStr">
        <is>
          <t>55%</t>
        </is>
      </c>
      <c r="F30" s="62" t="inlineStr">
        <is>
          <t>0.45 hrs</t>
        </is>
      </c>
      <c r="G30" s="62" t="inlineStr">
        <is>
          <t>Data reconciliation framework</t>
        </is>
      </c>
      <c r="H30" s="62" t="inlineStr">
        <is>
          <t>GHCP generates parallel-run comparison scripts automatically.</t>
        </is>
      </c>
      <c r="I30" s="62" t="inlineStr">
        <is>
          <t>Run old and new pipeline simultaneously. Compare row counts and totals.</t>
        </is>
      </c>
    </row>
    <row r="31" ht="40" customHeight="1">
      <c r="B31" s="55" t="n">
        <v>29</v>
      </c>
      <c r="C31" s="56" t="inlineStr">
        <is>
          <t>MWAA + Glue Setup (fixed)</t>
        </is>
      </c>
      <c r="D31" s="56" t="inlineStr">
        <is>
          <t>24.0 hrs</t>
        </is>
      </c>
      <c r="E31" s="56" t="inlineStr">
        <is>
          <t>50%</t>
        </is>
      </c>
      <c r="F31" s="56" t="inlineStr">
        <is>
          <t>12.0 hrs</t>
        </is>
      </c>
      <c r="G31" s="56" t="inlineStr">
        <is>
          <t>AWS MWAA setup documentation</t>
        </is>
      </c>
      <c r="H31" s="56" t="inlineStr">
        <is>
          <t>One-time MWAA environment + Glue catalog + IAM + VPC configuration.</t>
        </is>
      </c>
      <c r="I31" s="56" t="inlineStr">
        <is>
          <t>Reused by all ETL pipelines. Must be done before any DAG deployment.</t>
        </is>
      </c>
    </row>
  </sheetData>
  <mergeCells count="1"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  <col width="55" customWidth="1" min="4" max="4"/>
  </cols>
  <sheetData>
    <row r="1" ht="40" customHeight="1">
      <c r="B1" s="54" t="inlineStr">
        <is>
          <t>How To Use — Azure SQL MI → Aurora Migration Effort Calculator</t>
        </is>
      </c>
    </row>
    <row r="2" ht="22" customHeight="1">
      <c r="B2" s="63" t="inlineStr">
        <is>
          <t>Step</t>
        </is>
      </c>
      <c r="C2" s="63" t="inlineStr">
        <is>
          <t>What To Do</t>
        </is>
      </c>
      <c r="D2" s="63" t="inlineStr">
        <is>
          <t>Telecom-Specific Tip</t>
        </is>
      </c>
    </row>
    <row r="3" ht="70" customHeight="1">
      <c r="B3" s="64" t="inlineStr">
        <is>
          <t>Step 1
Get Inventory</t>
        </is>
      </c>
      <c r="C3" s="65" t="inlineStr">
        <is>
          <t>Run AWS SCT against Azure SQL MI.
Gets counts of: tables, views, SPs by complexity, functions, triggers, indexes, SQL Agent jobs, CLR objects.</t>
        </is>
      </c>
      <c r="D3" s="66" t="inlineStr">
        <is>
          <t>Free tool. Connect read-only. Takes 2–4 hours on an enterprise-scale DB. Export the full SCT assessment report as HTML for evidence.</t>
        </is>
      </c>
    </row>
    <row r="4" ht="70" customHeight="1">
      <c r="B4" s="67" t="inlineStr">
        <is>
          <t>Step 2
Classify SPs</t>
        </is>
      </c>
      <c r="C4" s="65" t="inlineStr">
        <is>
          <t>SCT rates SPs as: Simple (0–1 action items), Medium (2–5), Complex (6+).
Map: Simple → Simple CRUD | Medium → Business Logic | Complex → Complex SP.</t>
        </is>
      </c>
      <c r="D4" s="66" t="inlineStr">
        <is>
          <t>Billing SPs are usually Medium/Complex. Ordering SPs usually Simple/Medium. If &gt;30% are Complex, budget extra DBA review sprint time.</t>
        </is>
      </c>
    </row>
    <row r="5" ht="70" customHeight="1">
      <c r="B5" s="68" t="inlineStr">
        <is>
          <t>Step 3
Count ADF Pipelines</t>
        </is>
      </c>
      <c r="C5" s="65" t="inlineStr">
        <is>
          <t>Export ADF as ARM JSON template.
Count by activityType field:
Copy | SqlServerStoredProcedure | WebActivity | ExecuteDataFlow | DotNetActivity.</t>
        </is>
      </c>
      <c r="D5" s="66" t="inlineStr">
        <is>
          <t>CLI: az datafactory pipeline list --factory-name &lt;name&gt; --resource-group &lt;rg&gt;
Export to JSON and use grep/jq to count each activity type.</t>
        </is>
      </c>
    </row>
    <row r="6" ht="70" customHeight="1">
      <c r="B6" s="69" t="inlineStr">
        <is>
          <t>Step 4
Enter Yellow Cells</t>
        </is>
      </c>
      <c r="C6" s="65" t="inlineStr">
        <is>
          <t>Go to Sheet 1 (Effort Calculator).
Fill every YELLOW cell with your actual counts.
Leave Section D alone — it calculates automatically from Sections A, B, C.</t>
        </is>
      </c>
      <c r="D6" s="66" t="inlineStr">
        <is>
          <t>Start with schema counts (Section A), then GB volumes (Section B), then ETL pipeline counts (Section C). Section D self-populates.</t>
        </is>
      </c>
    </row>
    <row r="7" ht="70" customHeight="1">
      <c r="B7" s="64" t="inlineStr">
        <is>
          <t>Step 5
SP Mix Check</t>
        </is>
      </c>
      <c r="C7" s="65" t="inlineStr">
        <is>
          <t>Default SP split: 40% Simple / 35% Business Logic / 15% Complex / 10% CLR.
Adjust the counts in yellow cells based on your actual SCT output.</t>
        </is>
      </c>
      <c r="D7" s="66" t="inlineStr">
        <is>
          <t>SCT auto-conversion rate &gt;80% → lean Simple counts higher.
SCT rate &lt;70% → lean Complex counts higher. CLR &gt; 10% of SPs = escalate.</t>
        </is>
      </c>
    </row>
    <row r="8" ht="70" customHeight="1">
      <c r="B8" s="67" t="inlineStr">
        <is>
          <t>Step 6
Adjust Data Volumes</t>
        </is>
      </c>
      <c r="C8" s="65" t="inlineStr">
        <is>
          <t>Use Azure SQL MI database properties for actual GB sizes.
If unknown: T1=20%, T2=30%, T3=50% of total volume as safe default.</t>
        </is>
      </c>
      <c r="D8" s="66" t="inlineStr">
        <is>
          <t>CDC monitoring weeks = the single longest-running cost driver.
Telecom billing high-TPS: plan 16 weeks minimum, not 12.</t>
        </is>
      </c>
    </row>
    <row r="9" ht="70" customHeight="1">
      <c r="B9" s="68" t="inlineStr">
        <is>
          <t>Step 7
Validate Output Mix</t>
        </is>
      </c>
      <c r="C9" s="65" t="inlineStr">
        <is>
          <t>Sanity-check the output section percentages:
Schema: 40–60% | ETL: 25–35% | Data: 10–20% | Testing: 15–25%.</t>
        </is>
      </c>
      <c r="D9" s="66" t="inlineStr">
        <is>
          <t>Schema &gt;65% of total = CLR-heavy system. Flag for architecture review before quoting to the client. Do not proceed without DBA sign-off.</t>
        </is>
      </c>
    </row>
    <row r="10" ht="70" customHeight="1">
      <c r="B10" s="69" t="inlineStr">
        <is>
          <t>Step 8
Multi-DB Scale</t>
        </is>
      </c>
      <c r="C10" s="65" t="inlineStr">
        <is>
          <t>For multiple databases: multiply Schema + ETL totals by DB count.
Data migration already scales with GB — do NOT multiply those rows.</t>
        </is>
      </c>
      <c r="D10" s="66" t="inlineStr">
        <is>
          <t>Shared SP libraries across DBs → don't multiply SP hours.
Only multiply deployment and integration testing hours for multi-DB.</t>
        </is>
      </c>
    </row>
    <row r="11" ht="70" customHeight="1">
      <c r="B11" s="64" t="inlineStr">
        <is>
          <t>Step 9
Stakeholder Presentation</t>
        </is>
      </c>
      <c r="C11" s="65" t="inlineStr">
        <is>
          <t>Lead with:
"Total Hours = X. That's Y calendar weeks for a 6-person team.
AI tooling is already built in — without AI this would be ~2× the hours."</t>
        </is>
      </c>
      <c r="D11" s="66" t="inlineStr">
        <is>
          <t>Present 3 streams separately (Schema / Data / ETL).
SDLC +25% and Risk +10% buffers are already included.
DO NOT add additional buffers on top — this will double-count.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2026-04-12T18:44:20Z</dcterms:created>
  <dcterms:modified xsi:type="dcterms:W3CDTF">2026-04-12T18:44:20Z</dcterms:modified>
</cp:coreProperties>
</file>