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🧮 Effort Calculator" sheetId="1" state="visible" r:id="rId1"/>
    <sheet xmlns:r="http://schemas.openxmlformats.org/officeDocument/2006/relationships" name="📐 Legend &amp;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#"/>
    <numFmt numFmtId="165" formatCode="0.000"/>
    <numFmt numFmtId="166" formatCode="#,##0.0"/>
    <numFmt numFmtId="167" formatCode="0.0"/>
  </numFmts>
  <fonts count="28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i val="1"/>
      <color rgb="FF595959"/>
      <sz val="10"/>
    </font>
    <font>
      <name val="Arial"/>
      <b val="1"/>
      <color rgb="FF784212"/>
      <sz val="10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color rgb="FF784212"/>
      <sz val="9"/>
    </font>
    <font>
      <name val="Arial"/>
      <color rgb="FF000000"/>
      <sz val="9"/>
    </font>
    <font>
      <name val="Arial"/>
      <b val="1"/>
      <color rgb="FF7D5A00"/>
      <sz val="11"/>
    </font>
    <font>
      <name val="Arial"/>
      <b val="1"/>
      <color rgb="FF8B4000"/>
      <sz val="10"/>
    </font>
    <font>
      <name val="Arial"/>
      <b val="1"/>
      <color rgb="FF1A5276"/>
      <sz val="10"/>
    </font>
    <font>
      <name val="Arial"/>
      <b val="1"/>
      <color rgb="FF1A5276"/>
      <sz val="9"/>
    </font>
    <font>
      <name val="Arial"/>
      <color rgb="FF1A5276"/>
      <sz val="9"/>
    </font>
    <font>
      <name val="Arial"/>
      <color rgb="FF7D5A00"/>
      <sz val="9"/>
    </font>
    <font>
      <name val="Arial"/>
      <color rgb="FF8B4000"/>
      <sz val="9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color rgb="FF145A32"/>
      <sz val="9"/>
    </font>
    <font>
      <name val="Arial"/>
      <color rgb="FF145A32"/>
      <sz val="9"/>
    </font>
    <font>
      <name val="Arial"/>
      <b val="1"/>
      <color rgb="FF4A235A"/>
      <sz val="9"/>
    </font>
    <font>
      <name val="Arial"/>
      <color rgb="FF4A235A"/>
      <sz val="9"/>
    </font>
    <font>
      <name val="Arial"/>
      <b val="1"/>
      <color rgb="FF1F4E79"/>
      <sz val="9"/>
    </font>
    <font>
      <name val="Arial"/>
      <color rgb="FF1F4E79"/>
      <sz val="9"/>
    </font>
    <font>
      <name val="Arial"/>
      <b val="1"/>
      <color rgb="FFFFFFFF"/>
      <sz val="14"/>
    </font>
    <font>
      <name val="Arial"/>
      <b val="1"/>
      <color rgb="FFFFFFFF"/>
      <sz val="13"/>
    </font>
    <font>
      <name val="Arial"/>
      <b val="1"/>
      <color rgb="FF1F4E79"/>
      <sz val="10"/>
    </font>
    <font>
      <name val="Arial"/>
      <b val="1"/>
      <color rgb="FF1E6B3C"/>
      <sz val="10"/>
    </font>
    <font>
      <name val="Arial"/>
      <b val="1"/>
      <color rgb="FF000000"/>
      <sz val="9"/>
    </font>
  </fonts>
  <fills count="1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EF9E7"/>
      </patternFill>
    </fill>
    <fill>
      <patternFill patternType="solid">
        <fgColor rgb="FF7D5A00"/>
      </patternFill>
    </fill>
    <fill>
      <patternFill patternType="solid">
        <fgColor rgb="FF8B4000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D9F0E2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7D5A00"/>
      </left>
      <right style="medium">
        <color rgb="FF7D5A00"/>
      </right>
      <top style="medium">
        <color rgb="FF7D5A00"/>
      </top>
      <bottom style="medium">
        <color rgb="FF7D5A00"/>
      </bottom>
    </border>
    <border>
      <left style="medium">
        <color rgb="FF8B4000"/>
      </left>
      <right style="medium">
        <color rgb="FF8B4000"/>
      </right>
      <top style="medium">
        <color rgb="FF8B4000"/>
      </top>
      <bottom style="medium">
        <color rgb="FF8B4000"/>
      </bottom>
    </border>
    <border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164" fontId="8" fillId="4" borderId="2" applyAlignment="1" pivotButton="0" quotePrefix="0" xfId="0">
      <alignment horizontal="center" vertical="center" wrapText="1"/>
    </xf>
    <xf numFmtId="165" fontId="9" fillId="9" borderId="3" applyAlignment="1" pivotButton="0" quotePrefix="0" xfId="0">
      <alignment horizontal="center" vertical="center" wrapText="1"/>
    </xf>
    <xf numFmtId="1" fontId="10" fillId="8" borderId="4" applyAlignment="1" pivotButton="0" quotePrefix="0" xfId="0">
      <alignment horizontal="center" vertical="center" wrapText="1"/>
    </xf>
    <xf numFmtId="165" fontId="11" fillId="8" borderId="1" applyAlignment="1" pivotButton="0" quotePrefix="0" xfId="0">
      <alignment horizontal="center" vertical="center" wrapText="1"/>
    </xf>
    <xf numFmtId="166" fontId="12" fillId="8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 wrapText="1"/>
    </xf>
    <xf numFmtId="166" fontId="14" fillId="9" borderId="1" applyAlignment="1" pivotButton="0" quotePrefix="0" xfId="0">
      <alignment horizontal="center" vertical="center" wrapText="1"/>
    </xf>
    <xf numFmtId="166" fontId="11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167" fontId="11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166" fontId="16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165" fontId="17" fillId="12" borderId="1" applyAlignment="1" pivotButton="0" quotePrefix="0" xfId="0">
      <alignment horizontal="center" vertical="center" wrapText="1"/>
    </xf>
    <xf numFmtId="166" fontId="18" fillId="12" borderId="1" applyAlignment="1" pivotButton="0" quotePrefix="0" xfId="0">
      <alignment horizontal="center" vertical="center" wrapText="1"/>
    </xf>
    <xf numFmtId="166" fontId="17" fillId="12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166" fontId="16" fillId="11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165" fontId="19" fillId="14" borderId="1" applyAlignment="1" pivotButton="0" quotePrefix="0" xfId="0">
      <alignment horizontal="center" vertical="center" wrapText="1"/>
    </xf>
    <xf numFmtId="166" fontId="20" fillId="14" borderId="1" applyAlignment="1" pivotButton="0" quotePrefix="0" xfId="0">
      <alignment horizontal="center" vertical="center" wrapText="1"/>
    </xf>
    <xf numFmtId="166" fontId="19" fillId="14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166" fontId="16" fillId="1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166" fontId="2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166" fontId="22" fillId="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166" fontId="22" fillId="10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wrapText="1"/>
    </xf>
    <xf numFmtId="166" fontId="16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166" fontId="24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left" vertical="center" wrapText="1"/>
    </xf>
    <xf numFmtId="166" fontId="25" fillId="3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167" fontId="26" fillId="1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left" vertical="center" wrapText="1"/>
    </xf>
    <xf numFmtId="0" fontId="27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165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left" vertical="center" wrapText="1"/>
    </xf>
    <xf numFmtId="165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165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2" customWidth="1" min="11" max="11"/>
  </cols>
  <sheetData>
    <row r="1" ht="40" customHeight="1">
      <c r="A1" s="1" t="inlineStr">
        <is>
          <t>MIGRATION EFFORT CALCULATOR — DYNAMIC FORMULA VERSION</t>
        </is>
      </c>
    </row>
    <row r="2" ht="18" customHeight="1">
      <c r="A2" s="2" t="inlineStr">
        <is>
          <t>Azure SQL MI  →  AWS Aurora PostgreSQL  |  Schema + Data + ETL  |  Devin AI + GitHub Copilot</t>
        </is>
      </c>
    </row>
    <row r="3" ht="20" customHeight="1">
      <c r="A3" s="3" t="inlineStr">
        <is>
          <t>★  Yellow = count input   |   Orange = base rate (editable)   |   Blue = AI saving % (editable)   |   Grey = auto-calculated</t>
        </is>
      </c>
    </row>
    <row r="4" ht="8" customHeight="1"/>
    <row r="5" ht="44" customHeight="1">
      <c r="B5" s="4" t="inlineStr">
        <is>
          <t>Object / Activity</t>
        </is>
      </c>
      <c r="C5" s="5" t="inlineStr">
        <is>
          <t>Count ★
(your input)</t>
        </is>
      </c>
      <c r="D5" s="6" t="inlineStr">
        <is>
          <t>Base Rate
(hrs/unit) ✎</t>
        </is>
      </c>
      <c r="E5" s="7" t="inlineStr">
        <is>
          <t>AI Saving
% ✎</t>
        </is>
      </c>
      <c r="F5" s="4" t="inlineStr">
        <is>
          <t>AI-Adj Rate
=D×(1−E%)</t>
        </is>
      </c>
      <c r="G5" s="4" t="inlineStr">
        <is>
          <t>Subtotal Hrs
=C×F</t>
        </is>
      </c>
      <c r="H5" s="4" t="inlineStr">
        <is>
          <t>SDLC +25%
=G×0.25</t>
        </is>
      </c>
      <c r="I5" s="4" t="inlineStr">
        <is>
          <t>Risk +10%
=G×0.10</t>
        </is>
      </c>
      <c r="J5" s="4" t="inlineStr">
        <is>
          <t>TOTAL HOURS
=G+H+I</t>
        </is>
      </c>
    </row>
    <row r="6" ht="24" customHeight="1">
      <c r="A6" s="8" t="inlineStr">
        <is>
          <t xml:space="preserve">  A.  SCHEMA MIGRATION</t>
        </is>
      </c>
    </row>
    <row r="7" ht="26" customHeight="1">
      <c r="A7" s="9" t="inlineStr">
        <is>
          <t xml:space="preserve">  Orange cells (column D) = base rate in hrs/unit — change this if your team benchmarks differ.  Blue cells (column E) = AI saving % — change if Devin/GHCP performs differently on your codebase.  Column F recalculates instantly: F = D × (1 − E/100).</t>
        </is>
      </c>
    </row>
    <row r="8" ht="24" customHeight="1">
      <c r="B8" s="10" t="inlineStr">
        <is>
          <t>Tables  (SCT auto-convert + DBA review)</t>
        </is>
      </c>
      <c r="C8" s="11" t="n">
        <v>500</v>
      </c>
      <c r="D8" s="12" t="n">
        <v>0.4</v>
      </c>
      <c r="E8" s="13" t="n">
        <v>80</v>
      </c>
      <c r="F8" s="14">
        <f>D8*(1-E8/100)</f>
        <v/>
      </c>
      <c r="G8" s="15">
        <f>C8*F8</f>
        <v/>
      </c>
      <c r="H8" s="16">
        <f>G8*0.25</f>
        <v/>
      </c>
      <c r="I8" s="17">
        <f>G8*0.10</f>
        <v/>
      </c>
      <c r="J8" s="18">
        <f>G8+H8+I8</f>
        <v/>
      </c>
    </row>
    <row r="9" ht="24" customHeight="1">
      <c r="B9" s="19" t="inlineStr">
        <is>
          <t>Views  (SCT + manual fix for T-SQL functions)</t>
        </is>
      </c>
      <c r="C9" s="11" t="n">
        <v>250</v>
      </c>
      <c r="D9" s="12" t="n">
        <v>1.5</v>
      </c>
      <c r="E9" s="13" t="n">
        <v>65</v>
      </c>
      <c r="F9" s="14">
        <f>D9*(1-E9/100)</f>
        <v/>
      </c>
      <c r="G9" s="15">
        <f>C9*F9</f>
        <v/>
      </c>
      <c r="H9" s="16">
        <f>G9*0.25</f>
        <v/>
      </c>
      <c r="I9" s="17">
        <f>G9*0.10</f>
        <v/>
      </c>
      <c r="J9" s="18">
        <f>G9+H9+I9</f>
        <v/>
      </c>
    </row>
    <row r="10" ht="24" customHeight="1">
      <c r="B10" s="10" t="inlineStr">
        <is>
          <t>Indexes  (clustered → heap + B-tree strategy)</t>
        </is>
      </c>
      <c r="C10" s="11" t="n">
        <v>200</v>
      </c>
      <c r="D10" s="12" t="n">
        <v>0.5</v>
      </c>
      <c r="E10" s="13" t="n">
        <v>50</v>
      </c>
      <c r="F10" s="14">
        <f>D10*(1-E10/100)</f>
        <v/>
      </c>
      <c r="G10" s="15">
        <f>C10*F10</f>
        <v/>
      </c>
      <c r="H10" s="16">
        <f>G10*0.25</f>
        <v/>
      </c>
      <c r="I10" s="17">
        <f>G10*0.10</f>
        <v/>
      </c>
      <c r="J10" s="18">
        <f>G10+H10+I10</f>
        <v/>
      </c>
    </row>
    <row r="11" ht="24" customHeight="1">
      <c r="B11" s="19" t="inlineStr">
        <is>
          <t>SPs — Simple CRUD  (Devin autonomous batch)</t>
        </is>
      </c>
      <c r="C11" s="11" t="n">
        <v>120</v>
      </c>
      <c r="D11" s="12" t="n">
        <v>0.67</v>
      </c>
      <c r="E11" s="13" t="n">
        <v>75</v>
      </c>
      <c r="F11" s="14">
        <f>D11*(1-E11/100)</f>
        <v/>
      </c>
      <c r="G11" s="15">
        <f>C11*F11</f>
        <v/>
      </c>
      <c r="H11" s="16">
        <f>G11*0.25</f>
        <v/>
      </c>
      <c r="I11" s="17">
        <f>G11*0.10</f>
        <v/>
      </c>
      <c r="J11" s="18">
        <f>G11+H11+I11</f>
        <v/>
      </c>
    </row>
    <row r="12" ht="24" customHeight="1">
      <c r="B12" s="10" t="inlineStr">
        <is>
          <t>SPs — Business Logic  (Devin + full DBA review)</t>
        </is>
      </c>
      <c r="C12" s="11" t="n">
        <v>105</v>
      </c>
      <c r="D12" s="12" t="n">
        <v>1.5</v>
      </c>
      <c r="E12" s="13" t="n">
        <v>65</v>
      </c>
      <c r="F12" s="14">
        <f>D12*(1-E12/100)</f>
        <v/>
      </c>
      <c r="G12" s="15">
        <f>C12*F12</f>
        <v/>
      </c>
      <c r="H12" s="16">
        <f>G12*0.25</f>
        <v/>
      </c>
      <c r="I12" s="17">
        <f>G12*0.10</f>
        <v/>
      </c>
      <c r="J12" s="18">
        <f>G12+H12+I12</f>
        <v/>
      </c>
    </row>
    <row r="13" ht="24" customHeight="1">
      <c r="B13" s="19" t="inlineStr">
        <is>
          <t>SPs — Complex  (DBA manual rewrite + GHCP)</t>
        </is>
      </c>
      <c r="C13" s="11" t="n">
        <v>45</v>
      </c>
      <c r="D13" s="12" t="n">
        <v>4</v>
      </c>
      <c r="E13" s="13" t="n">
        <v>40</v>
      </c>
      <c r="F13" s="14">
        <f>D13*(1-E13/100)</f>
        <v/>
      </c>
      <c r="G13" s="15">
        <f>C13*F13</f>
        <v/>
      </c>
      <c r="H13" s="16">
        <f>G13*0.25</f>
        <v/>
      </c>
      <c r="I13" s="17">
        <f>G13*0.10</f>
        <v/>
      </c>
      <c r="J13" s="18">
        <f>G13+H13+I13</f>
        <v/>
      </c>
    </row>
    <row r="14" ht="24" customHeight="1">
      <c r="B14" s="10" t="inlineStr">
        <is>
          <t>SPs — CLR Objects  (architecture redesign)</t>
        </is>
      </c>
      <c r="C14" s="11" t="n">
        <v>30</v>
      </c>
      <c r="D14" s="12" t="n">
        <v>8</v>
      </c>
      <c r="E14" s="13" t="n">
        <v>20</v>
      </c>
      <c r="F14" s="14">
        <f>D14*(1-E14/100)</f>
        <v/>
      </c>
      <c r="G14" s="15">
        <f>C14*F14</f>
        <v/>
      </c>
      <c r="H14" s="16">
        <f>G14*0.25</f>
        <v/>
      </c>
      <c r="I14" s="17">
        <f>G14*0.10</f>
        <v/>
      </c>
      <c r="J14" s="18">
        <f>G14+H14+I14</f>
        <v/>
      </c>
    </row>
    <row r="15" ht="24" customHeight="1">
      <c r="B15" s="19" t="inlineStr">
        <is>
          <t>Functions — Scalar + Table-Valued</t>
        </is>
      </c>
      <c r="C15" s="11" t="n">
        <v>150</v>
      </c>
      <c r="D15" s="12" t="n">
        <v>1</v>
      </c>
      <c r="E15" s="13" t="n">
        <v>65</v>
      </c>
      <c r="F15" s="14">
        <f>D15*(1-E15/100)</f>
        <v/>
      </c>
      <c r="G15" s="15">
        <f>C15*F15</f>
        <v/>
      </c>
      <c r="H15" s="16">
        <f>G15*0.25</f>
        <v/>
      </c>
      <c r="I15" s="17">
        <f>G15*0.10</f>
        <v/>
      </c>
      <c r="J15" s="18">
        <f>G15+H15+I15</f>
        <v/>
      </c>
    </row>
    <row r="16" ht="24" customHeight="1">
      <c r="B16" s="10" t="inlineStr">
        <is>
          <t>Triggers  (simplify first, then convert)</t>
        </is>
      </c>
      <c r="C16" s="11" t="n">
        <v>75</v>
      </c>
      <c r="D16" s="12" t="n">
        <v>2</v>
      </c>
      <c r="E16" s="13" t="n">
        <v>45</v>
      </c>
      <c r="F16" s="14">
        <f>D16*(1-E16/100)</f>
        <v/>
      </c>
      <c r="G16" s="15">
        <f>C16*F16</f>
        <v/>
      </c>
      <c r="H16" s="16">
        <f>G16*0.25</f>
        <v/>
      </c>
      <c r="I16" s="17">
        <f>G16*0.10</f>
        <v/>
      </c>
      <c r="J16" s="18">
        <f>G16+H16+I16</f>
        <v/>
      </c>
    </row>
    <row r="17" ht="24" customHeight="1">
      <c r="B17" s="19" t="inlineStr">
        <is>
          <t>SQL Agent Jobs  (→ pg_cron / Lambda)</t>
        </is>
      </c>
      <c r="C17" s="11" t="n">
        <v>50</v>
      </c>
      <c r="D17" s="12" t="n">
        <v>2</v>
      </c>
      <c r="E17" s="13" t="n">
        <v>60</v>
      </c>
      <c r="F17" s="14">
        <f>D17*(1-E17/100)</f>
        <v/>
      </c>
      <c r="G17" s="15">
        <f>C17*F17</f>
        <v/>
      </c>
      <c r="H17" s="16">
        <f>G17*0.25</f>
        <v/>
      </c>
      <c r="I17" s="17">
        <f>G17*0.10</f>
        <v/>
      </c>
      <c r="J17" s="18">
        <f>G17+H17+I17</f>
        <v/>
      </c>
    </row>
    <row r="18" ht="24" customHeight="1">
      <c r="B18" s="10" t="inlineStr">
        <is>
          <t>Security Roles &amp; Logins  (Devin RBAC scripts)</t>
        </is>
      </c>
      <c r="C18" s="11" t="n">
        <v>40</v>
      </c>
      <c r="D18" s="12" t="n">
        <v>0.5</v>
      </c>
      <c r="E18" s="13" t="n">
        <v>65</v>
      </c>
      <c r="F18" s="14">
        <f>D18*(1-E18/100)</f>
        <v/>
      </c>
      <c r="G18" s="15">
        <f>C18*F18</f>
        <v/>
      </c>
      <c r="H18" s="16">
        <f>G18*0.25</f>
        <v/>
      </c>
      <c r="I18" s="17">
        <f>G18*0.10</f>
        <v/>
      </c>
      <c r="J18" s="18">
        <f>G18+H18+I18</f>
        <v/>
      </c>
    </row>
    <row r="19" ht="20" customHeight="1">
      <c r="A19" s="9" t="inlineStr">
        <is>
          <t xml:space="preserve">  Devin Fine-Tuning is a FIXED cost — 80 hrs mandatory before batch SP conversion. Column D is editable if your fine-tuning scope differs. No AI saving applied (E = 0%).</t>
        </is>
      </c>
    </row>
    <row r="20" ht="24" customHeight="1">
      <c r="B20" s="10" t="inlineStr">
        <is>
          <t>Devin Fine-Tuning  (FIXED — mandatory gate before batch SP conversion)</t>
        </is>
      </c>
      <c r="C20" s="20" t="inlineStr">
        <is>
          <t>Fixed</t>
        </is>
      </c>
      <c r="D20" s="12" t="n">
        <v>80</v>
      </c>
      <c r="E20" s="20" t="inlineStr">
        <is>
          <t>0</t>
        </is>
      </c>
      <c r="F20" s="21">
        <f>D20</f>
        <v/>
      </c>
      <c r="G20" s="15">
        <f>D20</f>
        <v/>
      </c>
      <c r="H20" s="16">
        <f>G20*0.25</f>
        <v/>
      </c>
      <c r="I20" s="17">
        <f>G20*0.10</f>
        <v/>
      </c>
      <c r="J20" s="18">
        <f>G20+H20+I20</f>
        <v/>
      </c>
    </row>
    <row r="21" ht="28" customHeight="1">
      <c r="A21" s="22" t="inlineStr">
        <is>
          <t xml:space="preserve">  ★  SCHEMA MIGRATION TOTAL</t>
        </is>
      </c>
      <c r="G21" s="23">
        <f>SUM(G8:G20)</f>
        <v/>
      </c>
      <c r="H21" s="23">
        <f>SUM(H8:H20)</f>
        <v/>
      </c>
      <c r="I21" s="23">
        <f>SUM(I8:I20)</f>
        <v/>
      </c>
      <c r="J21" s="23">
        <f>SUM(J8:J20)</f>
        <v/>
      </c>
    </row>
    <row r="23" ht="24" customHeight="1">
      <c r="A23" s="24" t="inlineStr">
        <is>
          <t xml:space="preserve">  B.  DATA MIGRATION</t>
        </is>
      </c>
    </row>
    <row r="24" ht="26" customHeight="1">
      <c r="A24" s="9" t="inlineStr">
        <is>
          <t xml:space="preserve">  Column C = volume (GB or weeks or count).  Column D = effort rate per unit.  Column E = AI saving %.  Column F = D × (1 − E/100) — updates live when you change D or E.</t>
        </is>
      </c>
    </row>
    <row r="25" ht="24" customHeight="1">
      <c r="B25" s="25" t="inlineStr">
        <is>
          <t>App DB — Tier 1 size  (GB)</t>
        </is>
      </c>
      <c r="C25" s="11" t="n">
        <v>2000</v>
      </c>
      <c r="D25" s="12" t="n">
        <v>0.004</v>
      </c>
      <c r="E25" s="13" t="n">
        <v>20</v>
      </c>
      <c r="F25" s="26">
        <f>D25*(1-E25/100)</f>
        <v/>
      </c>
      <c r="G25" s="27">
        <f>C25*F25</f>
        <v/>
      </c>
      <c r="H25" s="16">
        <f>G25*0.25</f>
        <v/>
      </c>
      <c r="I25" s="17">
        <f>G25*0.10</f>
        <v/>
      </c>
      <c r="J25" s="28">
        <f>G25+H25+I25</f>
        <v/>
      </c>
    </row>
    <row r="26" ht="24" customHeight="1">
      <c r="B26" s="19" t="inlineStr">
        <is>
          <t>App DB — CDC Monitoring  (weeks)</t>
        </is>
      </c>
      <c r="C26" s="11" t="n">
        <v>12</v>
      </c>
      <c r="D26" s="12" t="n">
        <v>8</v>
      </c>
      <c r="E26" s="13" t="n">
        <v>30</v>
      </c>
      <c r="F26" s="26">
        <f>D26*(1-E26/100)</f>
        <v/>
      </c>
      <c r="G26" s="27">
        <f>C26*F26</f>
        <v/>
      </c>
      <c r="H26" s="16">
        <f>G26*0.25</f>
        <v/>
      </c>
      <c r="I26" s="17">
        <f>G26*0.10</f>
        <v/>
      </c>
      <c r="J26" s="28">
        <f>G26+H26+I26</f>
        <v/>
      </c>
    </row>
    <row r="27" ht="24" customHeight="1">
      <c r="B27" s="25" t="inlineStr">
        <is>
          <t>Warm History — Tier 2  (GB)</t>
        </is>
      </c>
      <c r="C27" s="11" t="n">
        <v>12000</v>
      </c>
      <c r="D27" s="12" t="n">
        <v>0.003</v>
      </c>
      <c r="E27" s="13" t="n">
        <v>40</v>
      </c>
      <c r="F27" s="26">
        <f>D27*(1-E27/100)</f>
        <v/>
      </c>
      <c r="G27" s="27">
        <f>C27*F27</f>
        <v/>
      </c>
      <c r="H27" s="16">
        <f>G27*0.25</f>
        <v/>
      </c>
      <c r="I27" s="17">
        <f>G27*0.10</f>
        <v/>
      </c>
      <c r="J27" s="28">
        <f>G27+H27+I27</f>
        <v/>
      </c>
    </row>
    <row r="28" ht="24" customHeight="1">
      <c r="B28" s="19" t="inlineStr">
        <is>
          <t>Cold Archive — Tier 3  (GB)  → S3 + Athena</t>
        </is>
      </c>
      <c r="C28" s="11" t="n">
        <v>35000</v>
      </c>
      <c r="D28" s="12" t="n">
        <v>0.001</v>
      </c>
      <c r="E28" s="13" t="n">
        <v>50</v>
      </c>
      <c r="F28" s="26">
        <f>D28*(1-E28/100)</f>
        <v/>
      </c>
      <c r="G28" s="27">
        <f>C28*F28</f>
        <v/>
      </c>
      <c r="H28" s="16">
        <f>G28*0.25</f>
        <v/>
      </c>
      <c r="I28" s="17">
        <f>G28*0.10</f>
        <v/>
      </c>
      <c r="J28" s="28">
        <f>G28+H28+I28</f>
        <v/>
      </c>
    </row>
    <row r="29" ht="24" customHeight="1">
      <c r="B29" s="25" t="inlineStr">
        <is>
          <t>Tables to Validate  (count, all tiers)</t>
        </is>
      </c>
      <c r="C29" s="11" t="n">
        <v>500</v>
      </c>
      <c r="D29" s="12" t="n">
        <v>0.25</v>
      </c>
      <c r="E29" s="13" t="n">
        <v>70</v>
      </c>
      <c r="F29" s="26">
        <f>D29*(1-E29/100)</f>
        <v/>
      </c>
      <c r="G29" s="27">
        <f>C29*F29</f>
        <v/>
      </c>
      <c r="H29" s="16">
        <f>G29*0.25</f>
        <v/>
      </c>
      <c r="I29" s="17">
        <f>G29*0.10</f>
        <v/>
      </c>
      <c r="J29" s="28">
        <f>G29+H29+I29</f>
        <v/>
      </c>
    </row>
    <row r="30" ht="24" customHeight="1">
      <c r="B30" s="19" t="inlineStr">
        <is>
          <t>Cutover Rehearsals  (count — min 2)</t>
        </is>
      </c>
      <c r="C30" s="11" t="n">
        <v>2</v>
      </c>
      <c r="D30" s="12" t="n">
        <v>32</v>
      </c>
      <c r="E30" s="13" t="n">
        <v>20</v>
      </c>
      <c r="F30" s="26">
        <f>D30*(1-E30/100)</f>
        <v/>
      </c>
      <c r="G30" s="27">
        <f>C30*F30</f>
        <v/>
      </c>
      <c r="H30" s="16">
        <f>G30*0.25</f>
        <v/>
      </c>
      <c r="I30" s="17">
        <f>G30*0.10</f>
        <v/>
      </c>
      <c r="J30" s="28">
        <f>G30+H30+I30</f>
        <v/>
      </c>
    </row>
    <row r="31" ht="24" customHeight="1">
      <c r="B31" s="25" t="inlineStr">
        <is>
          <t>DMS Infrastructure Setup  (fixed, enter 1)</t>
        </is>
      </c>
      <c r="C31" s="11" t="n">
        <v>1</v>
      </c>
      <c r="D31" s="12" t="n">
        <v>24</v>
      </c>
      <c r="E31" s="13" t="n">
        <v>40</v>
      </c>
      <c r="F31" s="26">
        <f>D31*(1-E31/100)</f>
        <v/>
      </c>
      <c r="G31" s="27">
        <f>C31*F31</f>
        <v/>
      </c>
      <c r="H31" s="16">
        <f>G31*0.25</f>
        <v/>
      </c>
      <c r="I31" s="17">
        <f>G31*0.10</f>
        <v/>
      </c>
      <c r="J31" s="28">
        <f>G31+H31+I31</f>
        <v/>
      </c>
    </row>
    <row r="32" ht="28" customHeight="1">
      <c r="A32" s="29" t="inlineStr">
        <is>
          <t xml:space="preserve">  ★  DATA MIGRATION TOTAL</t>
        </is>
      </c>
      <c r="G32" s="30">
        <f>SUM(G25:G31)</f>
        <v/>
      </c>
      <c r="H32" s="30">
        <f>SUM(H25:H31)</f>
        <v/>
      </c>
      <c r="I32" s="30">
        <f>SUM(I25:I31)</f>
        <v/>
      </c>
      <c r="J32" s="30">
        <f>SUM(J25:J31)</f>
        <v/>
      </c>
    </row>
    <row r="34" ht="24" customHeight="1">
      <c r="A34" s="31" t="inlineStr">
        <is>
          <t xml:space="preserve">  C.  ETL MIGRATION  (ADF → Apache Airflow + PySpark)</t>
        </is>
      </c>
    </row>
    <row r="35" ht="26" customHeight="1">
      <c r="A35" s="9" t="inlineStr">
        <is>
          <t xml:space="preserve">  Column C = number of ADF objects of that type.  Column D = base hrs/object (editable — adjust to your team velocity).  Column E = AI saving % (editable).  Column F recalculates: F = D × (1 − E/100).</t>
        </is>
      </c>
    </row>
    <row r="36" ht="24" customHeight="1">
      <c r="B36" s="32" t="inlineStr">
        <is>
          <t>ADF Copy Activity pipelines  (Devin → Airflow DAG)</t>
        </is>
      </c>
      <c r="C36" s="11" t="n">
        <v>45</v>
      </c>
      <c r="D36" s="12" t="n">
        <v>2</v>
      </c>
      <c r="E36" s="13" t="n">
        <v>65</v>
      </c>
      <c r="F36" s="33">
        <f>D36*(1-E36/100)</f>
        <v/>
      </c>
      <c r="G36" s="34">
        <f>C36*F36</f>
        <v/>
      </c>
      <c r="H36" s="16">
        <f>G36*0.25</f>
        <v/>
      </c>
      <c r="I36" s="17">
        <f>G36*0.10</f>
        <v/>
      </c>
      <c r="J36" s="35">
        <f>G36+H36+I36</f>
        <v/>
      </c>
    </row>
    <row r="37" ht="24" customHeight="1">
      <c r="B37" s="19" t="inlineStr">
        <is>
          <t>ADF Stored Proc Activity pipelines  (Devin)</t>
        </is>
      </c>
      <c r="C37" s="11" t="n">
        <v>20</v>
      </c>
      <c r="D37" s="12" t="n">
        <v>1.5</v>
      </c>
      <c r="E37" s="13" t="n">
        <v>65</v>
      </c>
      <c r="F37" s="33">
        <f>D37*(1-E37/100)</f>
        <v/>
      </c>
      <c r="G37" s="34">
        <f>C37*F37</f>
        <v/>
      </c>
      <c r="H37" s="16">
        <f>G37*0.25</f>
        <v/>
      </c>
      <c r="I37" s="17">
        <f>G37*0.10</f>
        <v/>
      </c>
      <c r="J37" s="35">
        <f>G37+H37+I37</f>
        <v/>
      </c>
    </row>
    <row r="38" ht="24" customHeight="1">
      <c r="B38" s="32" t="inlineStr">
        <is>
          <t>ADF REST / Web Activity pipelines  (Devin)</t>
        </is>
      </c>
      <c r="C38" s="11" t="n">
        <v>15</v>
      </c>
      <c r="D38" s="12" t="n">
        <v>3</v>
      </c>
      <c r="E38" s="13" t="n">
        <v>55</v>
      </c>
      <c r="F38" s="33">
        <f>D38*(1-E38/100)</f>
        <v/>
      </c>
      <c r="G38" s="34">
        <f>C38*F38</f>
        <v/>
      </c>
      <c r="H38" s="16">
        <f>G38*0.25</f>
        <v/>
      </c>
      <c r="I38" s="17">
        <f>G38*0.10</f>
        <v/>
      </c>
      <c r="J38" s="35">
        <f>G38+H38+I38</f>
        <v/>
      </c>
    </row>
    <row r="39" ht="24" customHeight="1">
      <c r="B39" s="19" t="inlineStr">
        <is>
          <t>ADF Mapping Data Flows — Simple  (Devin → PySpark)</t>
        </is>
      </c>
      <c r="C39" s="11" t="n">
        <v>30</v>
      </c>
      <c r="D39" s="12" t="n">
        <v>4</v>
      </c>
      <c r="E39" s="13" t="n">
        <v>55</v>
      </c>
      <c r="F39" s="33">
        <f>D39*(1-E39/100)</f>
        <v/>
      </c>
      <c r="G39" s="34">
        <f>C39*F39</f>
        <v/>
      </c>
      <c r="H39" s="16">
        <f>G39*0.25</f>
        <v/>
      </c>
      <c r="I39" s="17">
        <f>G39*0.10</f>
        <v/>
      </c>
      <c r="J39" s="35">
        <f>G39+H39+I39</f>
        <v/>
      </c>
    </row>
    <row r="40" ht="24" customHeight="1">
      <c r="B40" s="32" t="inlineStr">
        <is>
          <t>ADF Mapping Data Flows — Complex  (GHCP + developer)</t>
        </is>
      </c>
      <c r="C40" s="11" t="n">
        <v>20</v>
      </c>
      <c r="D40" s="12" t="n">
        <v>8</v>
      </c>
      <c r="E40" s="13" t="n">
        <v>40</v>
      </c>
      <c r="F40" s="33">
        <f>D40*(1-E40/100)</f>
        <v/>
      </c>
      <c r="G40" s="34">
        <f>C40*F40</f>
        <v/>
      </c>
      <c r="H40" s="16">
        <f>G40*0.25</f>
        <v/>
      </c>
      <c r="I40" s="17">
        <f>G40*0.10</f>
        <v/>
      </c>
      <c r="J40" s="35">
        <f>G40+H40+I40</f>
        <v/>
      </c>
    </row>
    <row r="41" ht="24" customHeight="1">
      <c r="B41" s="19" t="inlineStr">
        <is>
          <t>ADF Custom .NET Activities  (manual rewrite + GHCP)</t>
        </is>
      </c>
      <c r="C41" s="11" t="n">
        <v>10</v>
      </c>
      <c r="D41" s="12" t="n">
        <v>16</v>
      </c>
      <c r="E41" s="13" t="n">
        <v>35</v>
      </c>
      <c r="F41" s="33">
        <f>D41*(1-E41/100)</f>
        <v/>
      </c>
      <c r="G41" s="34">
        <f>C41*F41</f>
        <v/>
      </c>
      <c r="H41" s="16">
        <f>G41*0.25</f>
        <v/>
      </c>
      <c r="I41" s="17">
        <f>G41*0.10</f>
        <v/>
      </c>
      <c r="J41" s="35">
        <f>G41+H41+I41</f>
        <v/>
      </c>
    </row>
    <row r="42" ht="24" customHeight="1">
      <c r="B42" s="32" t="inlineStr">
        <is>
          <t>ADF Azure-specific pipelines  (ADLS / Synapse redesign)</t>
        </is>
      </c>
      <c r="C42" s="11" t="n">
        <v>8</v>
      </c>
      <c r="D42" s="12" t="n">
        <v>24</v>
      </c>
      <c r="E42" s="13" t="n">
        <v>20</v>
      </c>
      <c r="F42" s="33">
        <f>D42*(1-E42/100)</f>
        <v/>
      </c>
      <c r="G42" s="34">
        <f>C42*F42</f>
        <v/>
      </c>
      <c r="H42" s="16">
        <f>G42*0.25</f>
        <v/>
      </c>
      <c r="I42" s="17">
        <f>G42*0.10</f>
        <v/>
      </c>
      <c r="J42" s="35">
        <f>G42+H42+I42</f>
        <v/>
      </c>
    </row>
    <row r="43" ht="24" customHeight="1">
      <c r="B43" s="19" t="inlineStr">
        <is>
          <t>Azure Functions  (→ AWS Lambda / Step Functions + GHCP)</t>
        </is>
      </c>
      <c r="C43" s="11" t="n">
        <v>15</v>
      </c>
      <c r="D43" s="12" t="n">
        <v>8</v>
      </c>
      <c r="E43" s="13" t="n">
        <v>40</v>
      </c>
      <c r="F43" s="33">
        <f>D43*(1-E43/100)</f>
        <v/>
      </c>
      <c r="G43" s="34">
        <f>C43*F43</f>
        <v/>
      </c>
      <c r="H43" s="16">
        <f>G43*0.25</f>
        <v/>
      </c>
      <c r="I43" s="17">
        <f>G43*0.10</f>
        <v/>
      </c>
      <c r="J43" s="35">
        <f>G43+H43+I43</f>
        <v/>
      </c>
    </row>
    <row r="44" ht="24" customHeight="1">
      <c r="B44" s="32" t="inlineStr">
        <is>
          <t>ETL Parallel Validation  (ADF vs Airflow output diff)</t>
        </is>
      </c>
      <c r="C44" s="11" t="n">
        <v>50</v>
      </c>
      <c r="D44" s="12" t="n">
        <v>1</v>
      </c>
      <c r="E44" s="13" t="n">
        <v>55</v>
      </c>
      <c r="F44" s="33">
        <f>D44*(1-E44/100)</f>
        <v/>
      </c>
      <c r="G44" s="34">
        <f>C44*F44</f>
        <v/>
      </c>
      <c r="H44" s="16">
        <f>G44*0.25</f>
        <v/>
      </c>
      <c r="I44" s="17">
        <f>G44*0.10</f>
        <v/>
      </c>
      <c r="J44" s="35">
        <f>G44+H44+I44</f>
        <v/>
      </c>
    </row>
    <row r="45" ht="24" customHeight="1">
      <c r="B45" s="19" t="inlineStr">
        <is>
          <t>MWAA + Glue Infrastructure Setup  (enter 1 = fixed)</t>
        </is>
      </c>
      <c r="C45" s="11" t="n">
        <v>1</v>
      </c>
      <c r="D45" s="12" t="n">
        <v>24</v>
      </c>
      <c r="E45" s="13" t="n">
        <v>50</v>
      </c>
      <c r="F45" s="33">
        <f>D45*(1-E45/100)</f>
        <v/>
      </c>
      <c r="G45" s="34">
        <f>C45*F45</f>
        <v/>
      </c>
      <c r="H45" s="16">
        <f>G45*0.25</f>
        <v/>
      </c>
      <c r="I45" s="17">
        <f>G45*0.10</f>
        <v/>
      </c>
      <c r="J45" s="35">
        <f>G45+H45+I45</f>
        <v/>
      </c>
    </row>
    <row r="46" ht="28" customHeight="1">
      <c r="A46" s="36" t="inlineStr">
        <is>
          <t xml:space="preserve">  ★  ETL MIGRATION TOTAL</t>
        </is>
      </c>
      <c r="G46" s="37">
        <f>SUM(G36:G45)</f>
        <v/>
      </c>
      <c r="H46" s="37">
        <f>SUM(H36:H45)</f>
        <v/>
      </c>
      <c r="I46" s="37">
        <f>SUM(I36:I45)</f>
        <v/>
      </c>
      <c r="J46" s="37">
        <f>SUM(J36:J45)</f>
        <v/>
      </c>
    </row>
    <row r="48" ht="24" customHeight="1">
      <c r="A48" s="38" t="inlineStr">
        <is>
          <t xml:space="preserve">  D.  TESTING, UAT &amp; PROJECT MANAGEMENT</t>
        </is>
      </c>
    </row>
    <row r="49" ht="26" customHeight="1">
      <c r="A49" s="9" t="inlineStr">
        <is>
          <t xml:space="preserve">  Testing and PM hours are calculated as % of the combined Schema+Data+ETL total — no count to enter.  Column D = % of combined total (editable).  Column E = AI saving % (editable).  Column F = D% × combined × (1−E/100) = effective hrs rate.</t>
        </is>
      </c>
    </row>
    <row r="50" ht="22" customHeight="1">
      <c r="A50" s="39" t="inlineStr">
        <is>
          <t xml:space="preserve">  Combined Base = Schema + Data + ETL totals  (used for % calculations below)</t>
        </is>
      </c>
      <c r="G50" s="40">
        <f>J21+J32+J46</f>
        <v/>
      </c>
      <c r="H50" s="41" t="inlineStr"/>
      <c r="I50" s="41" t="inlineStr"/>
      <c r="J50" s="41" t="inlineStr"/>
    </row>
    <row r="51" ht="44" customHeight="1">
      <c r="B51" s="4" t="inlineStr">
        <is>
          <t>Activity</t>
        </is>
      </c>
      <c r="C51" s="4" t="inlineStr">
        <is>
          <t>(auto)</t>
        </is>
      </c>
      <c r="D51" s="4" t="inlineStr">
        <is>
          <t>% of Combined ✎</t>
        </is>
      </c>
      <c r="E51" s="4" t="inlineStr">
        <is>
          <t>AI Saving % ✎</t>
        </is>
      </c>
      <c r="F51" s="4" t="inlineStr">
        <is>
          <t>Effective Hrs
=Combined×D%×(1−E%)</t>
        </is>
      </c>
      <c r="G51" s="4" t="inlineStr">
        <is>
          <t>Subtotal Hrs</t>
        </is>
      </c>
      <c r="H51" s="4" t="inlineStr">
        <is>
          <t>SDLC +25%</t>
        </is>
      </c>
      <c r="I51" s="4" t="inlineStr">
        <is>
          <t>Risk +10%</t>
        </is>
      </c>
      <c r="J51" s="4" t="inlineStr">
        <is>
          <t>TOTAL HOURS</t>
        </is>
      </c>
    </row>
    <row r="52" ht="24" customHeight="1">
      <c r="B52" s="42" t="inlineStr">
        <is>
          <t>Unit + Integration Testing  (SP + ETL functional tests)</t>
        </is>
      </c>
      <c r="C52" s="43" t="inlineStr">
        <is>
          <t>% based</t>
        </is>
      </c>
      <c r="D52" s="12" t="n">
        <v>18</v>
      </c>
      <c r="E52" s="13" t="n">
        <v>55</v>
      </c>
      <c r="F52" s="44">
        <f>G50*(D52/100)*(1-E52/100)</f>
        <v/>
      </c>
      <c r="G52" s="44">
        <f>F52</f>
        <v/>
      </c>
      <c r="H52" s="16">
        <f>G52*0.25</f>
        <v/>
      </c>
      <c r="I52" s="17">
        <f>G52*0.10</f>
        <v/>
      </c>
      <c r="J52" s="40">
        <f>G52+H52+I52</f>
        <v/>
      </c>
    </row>
    <row r="53" ht="24" customHeight="1">
      <c r="B53" s="19" t="inlineStr">
        <is>
          <t>Performance Benchmarking  (EXPLAIN ANALYZE + tuning)</t>
        </is>
      </c>
      <c r="C53" s="45" t="inlineStr">
        <is>
          <t>% based</t>
        </is>
      </c>
      <c r="D53" s="12" t="n">
        <v>8</v>
      </c>
      <c r="E53" s="13" t="n">
        <v>35</v>
      </c>
      <c r="F53" s="46">
        <f>G50*(D53/100)*(1-E53/100)</f>
        <v/>
      </c>
      <c r="G53" s="46">
        <f>F53</f>
        <v/>
      </c>
      <c r="H53" s="16">
        <f>G53*0.25</f>
        <v/>
      </c>
      <c r="I53" s="17">
        <f>G53*0.10</f>
        <v/>
      </c>
      <c r="J53" s="40">
        <f>G53+H53+I53</f>
        <v/>
      </c>
    </row>
    <row r="54" ht="24" customHeight="1">
      <c r="B54" s="42" t="inlineStr">
        <is>
          <t>Regression Testing — Ordering Application</t>
        </is>
      </c>
      <c r="C54" s="43" t="inlineStr">
        <is>
          <t>% based</t>
        </is>
      </c>
      <c r="D54" s="12" t="n">
        <v>12</v>
      </c>
      <c r="E54" s="13" t="n">
        <v>30</v>
      </c>
      <c r="F54" s="44">
        <f>G50*(D54/100)*(1-E54/100)</f>
        <v/>
      </c>
      <c r="G54" s="44">
        <f>F54</f>
        <v/>
      </c>
      <c r="H54" s="16">
        <f>G54*0.25</f>
        <v/>
      </c>
      <c r="I54" s="17">
        <f>G54*0.10</f>
        <v/>
      </c>
      <c r="J54" s="40">
        <f>G54+H54+I54</f>
        <v/>
      </c>
    </row>
    <row r="55" ht="24" customHeight="1">
      <c r="B55" s="19" t="inlineStr">
        <is>
          <t>Regression Testing — Billing Application</t>
        </is>
      </c>
      <c r="C55" s="45" t="inlineStr">
        <is>
          <t>% based</t>
        </is>
      </c>
      <c r="D55" s="12" t="n">
        <v>15</v>
      </c>
      <c r="E55" s="13" t="n">
        <v>30</v>
      </c>
      <c r="F55" s="46">
        <f>G50*(D55/100)*(1-E55/100)</f>
        <v/>
      </c>
      <c r="G55" s="46">
        <f>F55</f>
        <v/>
      </c>
      <c r="H55" s="16">
        <f>G55*0.25</f>
        <v/>
      </c>
      <c r="I55" s="17">
        <f>G55*0.10</f>
        <v/>
      </c>
      <c r="J55" s="40">
        <f>G55+H55+I55</f>
        <v/>
      </c>
    </row>
    <row r="56" ht="24" customHeight="1">
      <c r="B56" s="42" t="inlineStr">
        <is>
          <t>UAT — Ordering  (business users)</t>
        </is>
      </c>
      <c r="C56" s="43" t="inlineStr">
        <is>
          <t>% based</t>
        </is>
      </c>
      <c r="D56" s="12" t="n">
        <v>10</v>
      </c>
      <c r="E56" s="13" t="n">
        <v>5</v>
      </c>
      <c r="F56" s="44">
        <f>G50*(D56/100)*(1-E56/100)</f>
        <v/>
      </c>
      <c r="G56" s="44">
        <f>F56</f>
        <v/>
      </c>
      <c r="H56" s="16">
        <f>G56*0.25</f>
        <v/>
      </c>
      <c r="I56" s="17">
        <f>G56*0.10</f>
        <v/>
      </c>
      <c r="J56" s="40">
        <f>G56+H56+I56</f>
        <v/>
      </c>
    </row>
    <row r="57" ht="24" customHeight="1">
      <c r="B57" s="19" t="inlineStr">
        <is>
          <t>UAT — Billing  (business users + billing SME)</t>
        </is>
      </c>
      <c r="C57" s="45" t="inlineStr">
        <is>
          <t>% based</t>
        </is>
      </c>
      <c r="D57" s="12" t="n">
        <v>14</v>
      </c>
      <c r="E57" s="13" t="n">
        <v>5</v>
      </c>
      <c r="F57" s="46">
        <f>G50*(D57/100)*(1-E57/100)</f>
        <v/>
      </c>
      <c r="G57" s="46">
        <f>F57</f>
        <v/>
      </c>
      <c r="H57" s="16">
        <f>G57*0.25</f>
        <v/>
      </c>
      <c r="I57" s="17">
        <f>G57*0.10</f>
        <v/>
      </c>
      <c r="J57" s="40">
        <f>G57+H57+I57</f>
        <v/>
      </c>
    </row>
    <row r="58" ht="24" customHeight="1">
      <c r="B58" s="42" t="inlineStr">
        <is>
          <t>Defect Management &amp; Fix Cycles</t>
        </is>
      </c>
      <c r="C58" s="43" t="inlineStr">
        <is>
          <t>% based</t>
        </is>
      </c>
      <c r="D58" s="12" t="n">
        <v>15</v>
      </c>
      <c r="E58" s="13" t="n">
        <v>40</v>
      </c>
      <c r="F58" s="44">
        <f>G50*(D58/100)*(1-E58/100)</f>
        <v/>
      </c>
      <c r="G58" s="44">
        <f>F58</f>
        <v/>
      </c>
      <c r="H58" s="16">
        <f>G58*0.25</f>
        <v/>
      </c>
      <c r="I58" s="17">
        <f>G58*0.10</f>
        <v/>
      </c>
      <c r="J58" s="40">
        <f>G58+H58+I58</f>
        <v/>
      </c>
    </row>
    <row r="59" ht="24" customHeight="1">
      <c r="B59" s="19" t="inlineStr">
        <is>
          <t>Project Management &amp; Governance</t>
        </is>
      </c>
      <c r="C59" s="45" t="inlineStr">
        <is>
          <t>% based</t>
        </is>
      </c>
      <c r="D59" s="12" t="n">
        <v>18</v>
      </c>
      <c r="E59" s="13" t="n">
        <v>25</v>
      </c>
      <c r="F59" s="46">
        <f>G50*(D59/100)*(1-E59/100)</f>
        <v/>
      </c>
      <c r="G59" s="46">
        <f>F59</f>
        <v/>
      </c>
      <c r="H59" s="16">
        <f>G59*0.25</f>
        <v/>
      </c>
      <c r="I59" s="17">
        <f>G59*0.10</f>
        <v/>
      </c>
      <c r="J59" s="40">
        <f>G59+H59+I59</f>
        <v/>
      </c>
    </row>
    <row r="60" ht="24" customHeight="1">
      <c r="B60" s="42" t="inlineStr">
        <is>
          <t>Knowledge Transfer &amp; Training</t>
        </is>
      </c>
      <c r="C60" s="43" t="inlineStr">
        <is>
          <t>% based</t>
        </is>
      </c>
      <c r="D60" s="12" t="n">
        <v>8</v>
      </c>
      <c r="E60" s="13" t="n">
        <v>40</v>
      </c>
      <c r="F60" s="44">
        <f>G50*(D60/100)*(1-E60/100)</f>
        <v/>
      </c>
      <c r="G60" s="44">
        <f>F60</f>
        <v/>
      </c>
      <c r="H60" s="16">
        <f>G60*0.25</f>
        <v/>
      </c>
      <c r="I60" s="17">
        <f>G60*0.10</f>
        <v/>
      </c>
      <c r="J60" s="40">
        <f>G60+H60+I60</f>
        <v/>
      </c>
    </row>
    <row r="61" ht="28" customHeight="1">
      <c r="A61" s="47" t="inlineStr">
        <is>
          <t xml:space="preserve">  ★  TESTING + PM TOTAL</t>
        </is>
      </c>
      <c r="G61" s="48">
        <f>SUM(G52:G60)</f>
        <v/>
      </c>
      <c r="H61" s="48">
        <f>SUM(H52:H60)</f>
        <v/>
      </c>
      <c r="I61" s="48">
        <f>SUM(I52:I60)</f>
        <v/>
      </c>
      <c r="J61" s="48">
        <f>SUM(J52:J60)</f>
        <v/>
      </c>
    </row>
    <row r="63" ht="36" customHeight="1">
      <c r="A63" s="49" t="inlineStr">
        <is>
          <t xml:space="preserve">  ★  GRAND TOTAL  —  ALL STREAMS WITH ALL BUFFERS</t>
        </is>
      </c>
      <c r="G63" s="50">
        <f>G21+G32+G46+G61</f>
        <v/>
      </c>
      <c r="H63" s="50">
        <f>H21+H32+H46+H61</f>
        <v/>
      </c>
      <c r="I63" s="50">
        <f>I21+I32+I46+I61</f>
        <v/>
      </c>
      <c r="J63" s="50">
        <f>J21+J32+J46+J61</f>
        <v/>
      </c>
    </row>
    <row r="64" ht="24" customHeight="1">
      <c r="A64" s="51" t="inlineStr">
        <is>
          <t xml:space="preserve">  Total Days  (Grand Total Hours ÷ 8)</t>
        </is>
      </c>
      <c r="G64" s="52">
        <f>G63/8</f>
        <v/>
      </c>
      <c r="H64" s="52">
        <f>H63/8</f>
        <v/>
      </c>
      <c r="I64" s="52">
        <f>I63/8</f>
        <v/>
      </c>
      <c r="J64" s="52">
        <f>J63/8</f>
        <v/>
      </c>
    </row>
    <row r="65" ht="24" customHeight="1">
      <c r="A65" s="53" t="inlineStr">
        <is>
          <t xml:space="preserve">  Calendar Weeks  (Total Hours ÷ 240  assuming 6-person team × 40 hrs/week)</t>
        </is>
      </c>
      <c r="G65" s="54" t="n"/>
      <c r="H65" s="54" t="n"/>
      <c r="I65" s="54" t="n"/>
      <c r="J65" s="55">
        <f>J63/240</f>
        <v/>
      </c>
    </row>
    <row r="67" ht="24" customHeight="1">
      <c r="A67" s="38" t="inlineStr">
        <is>
          <t xml:space="preserve">  SUMMARY: HOURS BY STREAM</t>
        </is>
      </c>
    </row>
    <row r="68" ht="36" customHeight="1">
      <c r="B68" s="4" t="inlineStr">
        <is>
          <t>Stream</t>
        </is>
      </c>
      <c r="C68" s="4" t="inlineStr">
        <is>
          <t>AI-Adj Subtotal</t>
        </is>
      </c>
      <c r="D68" s="4" t="inlineStr">
        <is>
          <t>SDLC +25%</t>
        </is>
      </c>
      <c r="E68" s="4" t="inlineStr">
        <is>
          <t>Risk +10%</t>
        </is>
      </c>
      <c r="F68" s="4" t="inlineStr">
        <is>
          <t>Total Hours</t>
        </is>
      </c>
      <c r="G68" s="4" t="inlineStr">
        <is>
          <t>Total Days</t>
        </is>
      </c>
    </row>
    <row r="69" ht="24" customHeight="1">
      <c r="B69" s="56" t="inlineStr">
        <is>
          <t>🔵  Schema Migration</t>
        </is>
      </c>
      <c r="C69" s="18">
        <f>G21</f>
        <v/>
      </c>
      <c r="D69" s="18">
        <f>H21</f>
        <v/>
      </c>
      <c r="E69" s="18">
        <f>I21</f>
        <v/>
      </c>
      <c r="F69" s="18">
        <f>J21</f>
        <v/>
      </c>
      <c r="G69" s="18">
        <f>J21/8</f>
        <v/>
      </c>
    </row>
    <row r="70" ht="24" customHeight="1">
      <c r="B70" s="57" t="inlineStr">
        <is>
          <t>🟢  Data Migration</t>
        </is>
      </c>
      <c r="C70" s="28">
        <f>G32</f>
        <v/>
      </c>
      <c r="D70" s="28">
        <f>H32</f>
        <v/>
      </c>
      <c r="E70" s="28">
        <f>I32</f>
        <v/>
      </c>
      <c r="F70" s="28">
        <f>J32</f>
        <v/>
      </c>
      <c r="G70" s="28">
        <f>J32/8</f>
        <v/>
      </c>
    </row>
    <row r="71" ht="24" customHeight="1">
      <c r="B71" s="58" t="inlineStr">
        <is>
          <t>🟣  ETL Migration</t>
        </is>
      </c>
      <c r="C71" s="35">
        <f>G46</f>
        <v/>
      </c>
      <c r="D71" s="35">
        <f>H46</f>
        <v/>
      </c>
      <c r="E71" s="35">
        <f>I46</f>
        <v/>
      </c>
      <c r="F71" s="35">
        <f>J46</f>
        <v/>
      </c>
      <c r="G71" s="35">
        <f>J46/8</f>
        <v/>
      </c>
    </row>
    <row r="72" ht="24" customHeight="1">
      <c r="B72" s="39" t="inlineStr">
        <is>
          <t>🔬  Testing + PM</t>
        </is>
      </c>
      <c r="C72" s="40">
        <f>G61</f>
        <v/>
      </c>
      <c r="D72" s="40">
        <f>H61</f>
        <v/>
      </c>
      <c r="E72" s="40">
        <f>I61</f>
        <v/>
      </c>
      <c r="F72" s="40">
        <f>J61</f>
        <v/>
      </c>
      <c r="G72" s="40">
        <f>J61/8</f>
        <v/>
      </c>
    </row>
    <row r="73" ht="28" customHeight="1">
      <c r="B73" s="59" t="inlineStr">
        <is>
          <t>★  GRAND TOTAL</t>
        </is>
      </c>
      <c r="C73" s="48">
        <f>G63</f>
        <v/>
      </c>
      <c r="D73" s="48">
        <f>H63</f>
        <v/>
      </c>
      <c r="E73" s="48">
        <f>I63</f>
        <v/>
      </c>
      <c r="F73" s="48">
        <f>J63</f>
        <v/>
      </c>
      <c r="G73" s="48">
        <f>J63/8</f>
        <v/>
      </c>
    </row>
    <row r="75" ht="28" customHeight="1">
      <c r="A75" s="9" t="inlineStr">
        <is>
          <t xml:space="preserve">  HOW THE FORMULAS CHAIN:  C (count) × F (AI-adj rate) = G (subtotal)  →  G × 0.25 = H (SDLC)  →  G × 0.10 = I (Risk)  →  G+H+I = J (Total)  |  F = D × (1 − E/100)  |  Changing D or E in any row instantly recalculates F, G, H, I, J and all totals.</t>
        </is>
      </c>
    </row>
  </sheetData>
  <mergeCells count="22">
    <mergeCell ref="A23:J23"/>
    <mergeCell ref="A46:F46"/>
    <mergeCell ref="A35:J35"/>
    <mergeCell ref="A21:F21"/>
    <mergeCell ref="A1:K1"/>
    <mergeCell ref="A19:J19"/>
    <mergeCell ref="A67:J67"/>
    <mergeCell ref="A32:F32"/>
    <mergeCell ref="A34:J34"/>
    <mergeCell ref="A48:J48"/>
    <mergeCell ref="A24:J24"/>
    <mergeCell ref="A49:J49"/>
    <mergeCell ref="A63:F63"/>
    <mergeCell ref="A50:E50"/>
    <mergeCell ref="A3:K3"/>
    <mergeCell ref="A6:J6"/>
    <mergeCell ref="A2:K2"/>
    <mergeCell ref="A7:J7"/>
    <mergeCell ref="A64:F64"/>
    <mergeCell ref="A75:J75"/>
    <mergeCell ref="A61:F61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18" customWidth="1" min="4" max="4"/>
    <col width="18" customWidth="1" min="5" max="5"/>
    <col width="40" customWidth="1" min="6" max="6"/>
  </cols>
  <sheetData>
    <row r="1" ht="28" customHeight="1">
      <c r="A1" s="60" t="inlineStr">
        <is>
          <t>COLUMN LEGEND &amp; DEFAULT RATE DERIVATION</t>
        </is>
      </c>
    </row>
    <row r="3" ht="24" customHeight="1">
      <c r="A3" s="61" t="inlineStr">
        <is>
          <t>Column C — Count input</t>
        </is>
      </c>
      <c r="B3" s="19" t="inlineStr">
        <is>
          <t>Yellow cell</t>
        </is>
      </c>
      <c r="C3" s="19" t="inlineStr">
        <is>
          <t>Enter your inventory count or volume</t>
        </is>
      </c>
      <c r="D3" s="19" t="inlineStr">
        <is>
          <t>Editable by user</t>
        </is>
      </c>
      <c r="E3" s="19" t="inlineStr">
        <is>
          <t>All rows</t>
        </is>
      </c>
    </row>
    <row r="4" ht="24" customHeight="1">
      <c r="A4" s="62" t="inlineStr">
        <is>
          <t>Column D — Base rate</t>
        </is>
      </c>
      <c r="B4" s="63" t="inlineStr">
        <is>
          <t>Orange cell</t>
        </is>
      </c>
      <c r="C4" s="63" t="inlineStr">
        <is>
          <t>hrs/unit before any AI saving applied</t>
        </is>
      </c>
      <c r="D4" s="63" t="inlineStr">
        <is>
          <t>Editable — change if team benchmarks differ</t>
        </is>
      </c>
      <c r="E4" s="63" t="inlineStr">
        <is>
          <t>All rows</t>
        </is>
      </c>
    </row>
    <row r="5" ht="24" customHeight="1">
      <c r="A5" s="61" t="inlineStr">
        <is>
          <t>Column E — AI saving %</t>
        </is>
      </c>
      <c r="B5" s="19" t="inlineStr">
        <is>
          <t>Blue cell</t>
        </is>
      </c>
      <c r="C5" s="19" t="inlineStr">
        <is>
          <t>% effort saved by Devin + GHCP (0–100)</t>
        </is>
      </c>
      <c r="D5" s="19" t="inlineStr">
        <is>
          <t>Editable — change based on your AI tool performance</t>
        </is>
      </c>
      <c r="E5" s="19" t="inlineStr">
        <is>
          <t>All rows</t>
        </is>
      </c>
    </row>
    <row r="6" ht="24" customHeight="1">
      <c r="A6" s="62" t="inlineStr">
        <is>
          <t>Column F — AI-adj rate</t>
        </is>
      </c>
      <c r="B6" s="63" t="inlineStr">
        <is>
          <t>Grey formula</t>
        </is>
      </c>
      <c r="C6" s="63">
        <f> D × (1 − E/100)</f>
        <v/>
      </c>
      <c r="D6" s="63" t="inlineStr">
        <is>
          <t>Auto-calculated — never edit directly</t>
        </is>
      </c>
      <c r="E6" s="63" t="inlineStr">
        <is>
          <t>All rows</t>
        </is>
      </c>
    </row>
    <row r="7" ht="24" customHeight="1">
      <c r="A7" s="61" t="inlineStr">
        <is>
          <t>Column G — Subtotal hrs</t>
        </is>
      </c>
      <c r="B7" s="19" t="inlineStr">
        <is>
          <t>Grey formula</t>
        </is>
      </c>
      <c r="C7" s="19">
        <f> C × F</f>
        <v/>
      </c>
      <c r="D7" s="19" t="inlineStr">
        <is>
          <t>Auto-calculated</t>
        </is>
      </c>
      <c r="E7" s="19" t="inlineStr">
        <is>
          <t>Section A/B/C rows</t>
        </is>
      </c>
    </row>
    <row r="8" ht="24" customHeight="1">
      <c r="A8" s="62" t="inlineStr">
        <is>
          <t>Column H — SDLC buffer</t>
        </is>
      </c>
      <c r="B8" s="63" t="inlineStr">
        <is>
          <t>Gold formula</t>
        </is>
      </c>
      <c r="C8" s="63">
        <f> G × 0.25  (25% SDLC contingency)</f>
        <v/>
      </c>
      <c r="D8" s="63" t="inlineStr">
        <is>
          <t>Auto-calculated</t>
        </is>
      </c>
      <c r="E8" s="63" t="inlineStr">
        <is>
          <t>All rows</t>
        </is>
      </c>
    </row>
    <row r="9" ht="24" customHeight="1">
      <c r="A9" s="61" t="inlineStr">
        <is>
          <t>Column I — Risk buffer</t>
        </is>
      </c>
      <c r="B9" s="19" t="inlineStr">
        <is>
          <t>Orange formula</t>
        </is>
      </c>
      <c r="C9" s="19">
        <f> G × 0.10  (10% telecom risk premium)</f>
        <v/>
      </c>
      <c r="D9" s="19" t="inlineStr">
        <is>
          <t>Auto-calculated</t>
        </is>
      </c>
      <c r="E9" s="19" t="inlineStr">
        <is>
          <t>All rows</t>
        </is>
      </c>
    </row>
    <row r="10" ht="24" customHeight="1">
      <c r="A10" s="62" t="inlineStr">
        <is>
          <t>Column J — Total hours</t>
        </is>
      </c>
      <c r="B10" s="63" t="inlineStr">
        <is>
          <t>Coloured formula</t>
        </is>
      </c>
      <c r="C10" s="63">
        <f> G + H + I</f>
        <v/>
      </c>
      <c r="D10" s="63" t="inlineStr">
        <is>
          <t>Final output — hours with all buffers</t>
        </is>
      </c>
      <c r="E10" s="63" t="inlineStr">
        <is>
          <t>All rows</t>
        </is>
      </c>
    </row>
    <row r="12" ht="22" customHeight="1">
      <c r="A12" s="47" t="inlineStr">
        <is>
          <t xml:space="preserve">  DEFAULT RATES — SOURCE AND DERIVATION</t>
        </is>
      </c>
    </row>
    <row r="13" ht="28" customHeight="1">
      <c r="A13" s="7" t="inlineStr">
        <is>
          <t>Object / Activity</t>
        </is>
      </c>
      <c r="B13" s="7" t="inlineStr">
        <is>
          <t>Default Rate (D)</t>
        </is>
      </c>
      <c r="C13" s="7" t="inlineStr">
        <is>
          <t>Default AI % (E)</t>
        </is>
      </c>
      <c r="D13" s="7" t="inlineStr">
        <is>
          <t>AI-Adj Rate (F=D×(1-E%))</t>
        </is>
      </c>
      <c r="E13" s="7" t="inlineStr">
        <is>
          <t>Source</t>
        </is>
      </c>
      <c r="F13" s="7" t="inlineStr">
        <is>
          <t>Notes</t>
        </is>
      </c>
    </row>
    <row r="14" ht="22" customHeight="1">
      <c r="A14" s="61" t="inlineStr">
        <is>
          <t>Tables (SCT)</t>
        </is>
      </c>
      <c r="B14" s="64" t="n">
        <v>0.4</v>
      </c>
      <c r="C14" s="65" t="inlineStr">
        <is>
          <t>80%</t>
        </is>
      </c>
      <c r="D14" s="64" t="n">
        <v>0.08</v>
      </c>
      <c r="E14" s="19" t="inlineStr">
        <is>
          <t>AWS telecom case study</t>
        </is>
      </c>
      <c r="F14" s="19" t="inlineStr">
        <is>
          <t>SCT 95% auto. DBA reviews DDL. 0.08 hrs = ~5 min/table.</t>
        </is>
      </c>
    </row>
    <row r="15" ht="22" customHeight="1">
      <c r="A15" s="66" t="inlineStr">
        <is>
          <t>Views</t>
        </is>
      </c>
      <c r="B15" s="67" t="n">
        <v>1.5</v>
      </c>
      <c r="C15" s="68" t="inlineStr">
        <is>
          <t>65%</t>
        </is>
      </c>
      <c r="D15" s="67" t="n">
        <v>0.525</v>
      </c>
      <c r="E15" s="10" t="inlineStr">
        <is>
          <t>Industry benchmark</t>
        </is>
      </c>
      <c r="F15" s="10" t="inlineStr">
        <is>
          <t>35% need manual T-SQL fix. GHCP suggests PG equivalents.</t>
        </is>
      </c>
    </row>
    <row r="16" ht="22" customHeight="1">
      <c r="A16" s="61" t="inlineStr">
        <is>
          <t>Indexes (clustered→B-tree)</t>
        </is>
      </c>
      <c r="B16" s="64" t="n">
        <v>0.5</v>
      </c>
      <c r="C16" s="65" t="inlineStr">
        <is>
          <t>50%</t>
        </is>
      </c>
      <c r="D16" s="64" t="n">
        <v>0.25</v>
      </c>
      <c r="E16" s="19" t="inlineStr">
        <is>
          <t>Telecom case study</t>
        </is>
      </c>
      <c r="F16" s="19" t="inlineStr">
        <is>
          <t>DA designs strategy, Devin generates DDL, DBA reviews.</t>
        </is>
      </c>
    </row>
    <row r="17" ht="22" customHeight="1">
      <c r="A17" s="66" t="inlineStr">
        <is>
          <t>SPs — Simple CRUD</t>
        </is>
      </c>
      <c r="B17" s="67" t="n">
        <v>0.67</v>
      </c>
      <c r="C17" s="68" t="inlineStr">
        <is>
          <t>75%</t>
        </is>
      </c>
      <c r="D17" s="67" t="n">
        <v>0.168</v>
      </c>
      <c r="E17" s="10" t="inlineStr">
        <is>
          <t>Nubank/Devin: 10 min/SP</t>
        </is>
      </c>
      <c r="F17" s="10" t="inlineStr">
        <is>
          <t>10 min/SP after fine-tuning. Devin autonomous.</t>
        </is>
      </c>
    </row>
    <row r="18" ht="22" customHeight="1">
      <c r="A18" s="61" t="inlineStr">
        <is>
          <t>SPs — Business Logic</t>
        </is>
      </c>
      <c r="B18" s="64" t="n">
        <v>1.5</v>
      </c>
      <c r="C18" s="65" t="inlineStr">
        <is>
          <t>65%</t>
        </is>
      </c>
      <c r="D18" s="64" t="n">
        <v>0.525</v>
      </c>
      <c r="E18" s="19" t="inlineStr">
        <is>
          <t>Devin benchmark</t>
        </is>
      </c>
      <c r="F18" s="19" t="inlineStr">
        <is>
          <t>25 min/SP AI-adjusted. Full DBA PR review mandatory.</t>
        </is>
      </c>
    </row>
    <row r="19" ht="22" customHeight="1">
      <c r="A19" s="66" t="inlineStr">
        <is>
          <t>SPs — Complex</t>
        </is>
      </c>
      <c r="B19" s="67" t="n">
        <v>4</v>
      </c>
      <c r="C19" s="68" t="inlineStr">
        <is>
          <t>40%</t>
        </is>
      </c>
      <c r="D19" s="67" t="n">
        <v>2.4</v>
      </c>
      <c r="E19" s="10" t="inlineStr">
        <is>
          <t>Industry: 4–6 hrs manual</t>
        </is>
      </c>
      <c r="F19" s="10" t="inlineStr">
        <is>
          <t>90 min/SP with GHCP. Dynamic SQL, cursors, TempDB.</t>
        </is>
      </c>
    </row>
    <row r="20" ht="22" customHeight="1">
      <c r="A20" s="61" t="inlineStr">
        <is>
          <t>SPs — CLR Objects</t>
        </is>
      </c>
      <c r="B20" s="64" t="n">
        <v>8</v>
      </c>
      <c r="C20" s="65" t="inlineStr">
        <is>
          <t>20%</t>
        </is>
      </c>
      <c r="D20" s="64" t="n">
        <v>6.4</v>
      </c>
      <c r="E20" s="19" t="inlineStr">
        <is>
          <t>Architecture redesign</t>
        </is>
      </c>
      <c r="F20" s="19" t="inlineStr">
        <is>
          <t>No PG equivalent. DA designs, DBA implements.</t>
        </is>
      </c>
    </row>
    <row r="21" ht="22" customHeight="1">
      <c r="A21" s="66" t="inlineStr">
        <is>
          <t>Functions</t>
        </is>
      </c>
      <c r="B21" s="67" t="n">
        <v>1</v>
      </c>
      <c r="C21" s="68" t="inlineStr">
        <is>
          <t>65%</t>
        </is>
      </c>
      <c r="D21" s="67" t="n">
        <v>0.35</v>
      </c>
      <c r="E21" s="10" t="inlineStr">
        <is>
          <t>SCT + Devin benchmark</t>
        </is>
      </c>
      <c r="F21" s="10" t="inlineStr">
        <is>
          <t>SCT handles 70%. Devin fixes rest. 0.35 hrs avg.</t>
        </is>
      </c>
    </row>
    <row r="22" ht="22" customHeight="1">
      <c r="A22" s="61" t="inlineStr">
        <is>
          <t>Triggers</t>
        </is>
      </c>
      <c r="B22" s="64" t="n">
        <v>2</v>
      </c>
      <c r="C22" s="65" t="inlineStr">
        <is>
          <t>45%</t>
        </is>
      </c>
      <c r="D22" s="64" t="n">
        <v>1.1</v>
      </c>
      <c r="E22" s="19" t="inlineStr">
        <is>
          <t>Telecom case study</t>
        </is>
      </c>
      <c r="F22" s="19" t="inlineStr">
        <is>
          <t>Simplify first. Devin converts simple. 1.1 hrs avg.</t>
        </is>
      </c>
    </row>
    <row r="23" ht="22" customHeight="1">
      <c r="A23" s="66" t="inlineStr">
        <is>
          <t>SQL Agent Jobs</t>
        </is>
      </c>
      <c r="B23" s="67" t="n">
        <v>2</v>
      </c>
      <c r="C23" s="68" t="inlineStr">
        <is>
          <t>60%</t>
        </is>
      </c>
      <c r="D23" s="67" t="n">
        <v>0.8</v>
      </c>
      <c r="E23" s="10" t="inlineStr">
        <is>
          <t>Devin batch benchmark</t>
        </is>
      </c>
      <c r="F23" s="10" t="inlineStr">
        <is>
          <t>→ pg_cron / Lambda / Step Functions. 0.8 hrs/job.</t>
        </is>
      </c>
    </row>
    <row r="24" ht="22" customHeight="1">
      <c r="A24" s="61" t="inlineStr">
        <is>
          <t>Security Roles</t>
        </is>
      </c>
      <c r="B24" s="64" t="n">
        <v>0.5</v>
      </c>
      <c r="C24" s="65" t="inlineStr">
        <is>
          <t>65%</t>
        </is>
      </c>
      <c r="D24" s="64" t="n">
        <v>0.175</v>
      </c>
      <c r="E24" s="19" t="inlineStr">
        <is>
          <t>Devin RBAC scripts</t>
        </is>
      </c>
      <c r="F24" s="19" t="inlineStr">
        <is>
          <t>Devin generates RBAC. Security team flat 8 hr review.</t>
        </is>
      </c>
    </row>
    <row r="25" ht="22" customHeight="1">
      <c r="A25" s="66" t="inlineStr">
        <is>
          <t>Devin Fine-Tuning</t>
        </is>
      </c>
      <c r="B25" s="67" t="n">
        <v>80</v>
      </c>
      <c r="C25" s="68" t="inlineStr">
        <is>
          <t>0%</t>
        </is>
      </c>
      <c r="D25" s="67" t="n">
        <v>80</v>
      </c>
      <c r="E25" s="10" t="inlineStr">
        <is>
          <t>Nubank precedent</t>
        </is>
      </c>
      <c r="F25" s="10" t="inlineStr">
        <is>
          <t>FIXED 80 hrs. Doubles Devin accuracy post-tuning.</t>
        </is>
      </c>
    </row>
    <row r="26" ht="22" customHeight="1">
      <c r="A26" s="61" t="inlineStr">
        <is>
          <t>App DB — DMS (per GB)</t>
        </is>
      </c>
      <c r="B26" s="64" t="n">
        <v>0.004</v>
      </c>
      <c r="C26" s="65" t="inlineStr">
        <is>
          <t>20%</t>
        </is>
      </c>
      <c r="D26" s="64" t="n">
        <v>0.003</v>
      </c>
      <c r="E26" s="19" t="inlineStr">
        <is>
          <t>DMS sizing data</t>
        </is>
      </c>
      <c r="F26" s="19" t="inlineStr">
        <is>
          <t>CDC monitoring is main cost (separate weeks row).</t>
        </is>
      </c>
    </row>
    <row r="27" ht="22" customHeight="1">
      <c r="A27" s="69" t="inlineStr">
        <is>
          <t>CDC Monitoring (per week)</t>
        </is>
      </c>
      <c r="B27" s="70" t="n">
        <v>8</v>
      </c>
      <c r="C27" s="71" t="inlineStr">
        <is>
          <t>30%</t>
        </is>
      </c>
      <c r="D27" s="70" t="n">
        <v>5.6</v>
      </c>
      <c r="E27" s="25" t="inlineStr">
        <is>
          <t>DBA norms</t>
        </is>
      </c>
      <c r="F27" s="25" t="inlineStr">
        <is>
          <t>5.6 hrs/week with GHCP dashboards. 12–16 weeks telecom.</t>
        </is>
      </c>
    </row>
    <row r="28" ht="22" customHeight="1">
      <c r="A28" s="61" t="inlineStr">
        <is>
          <t>Warm History (per GB)</t>
        </is>
      </c>
      <c r="B28" s="64" t="n">
        <v>0.003</v>
      </c>
      <c r="C28" s="65" t="inlineStr">
        <is>
          <t>40%</t>
        </is>
      </c>
      <c r="D28" s="64" t="n">
        <v>0.0018</v>
      </c>
      <c r="E28" s="19" t="inlineStr">
        <is>
          <t>BCP+COPY benchmarks</t>
        </is>
      </c>
      <c r="F28" s="19" t="inlineStr">
        <is>
          <t>BCP export + S3 + Aurora COPY. Devin scripts.</t>
        </is>
      </c>
    </row>
    <row r="29" ht="22" customHeight="1">
      <c r="A29" s="69" t="inlineStr">
        <is>
          <t>Cold Archive (per GB)</t>
        </is>
      </c>
      <c r="B29" s="70" t="n">
        <v>0.001</v>
      </c>
      <c r="C29" s="71" t="inlineStr">
        <is>
          <t>50%</t>
        </is>
      </c>
      <c r="D29" s="70" t="n">
        <v>0.0005</v>
      </c>
      <c r="E29" s="25" t="inlineStr">
        <is>
          <t>Snowball logistics</t>
        </is>
      </c>
      <c r="F29" s="25" t="inlineStr">
        <is>
          <t>Active effort very low per GB. Snowball does transfer.</t>
        </is>
      </c>
    </row>
    <row r="30" ht="22" customHeight="1">
      <c r="A30" s="61" t="inlineStr">
        <is>
          <t>Table Validation (per table)</t>
        </is>
      </c>
      <c r="B30" s="64" t="n">
        <v>0.25</v>
      </c>
      <c r="C30" s="65" t="inlineStr">
        <is>
          <t>70%</t>
        </is>
      </c>
      <c r="D30" s="64" t="n">
        <v>0.075</v>
      </c>
      <c r="E30" s="19" t="inlineStr">
        <is>
          <t>Devin auto-gen</t>
        </is>
      </c>
      <c r="F30" s="19" t="inlineStr">
        <is>
          <t>Row count + checksum + FK. Devin generates all SQL.</t>
        </is>
      </c>
    </row>
    <row r="31" ht="22" customHeight="1">
      <c r="A31" s="69" t="inlineStr">
        <is>
          <t>Cutover Rehearsal (each)</t>
        </is>
      </c>
      <c r="B31" s="70" t="n">
        <v>32</v>
      </c>
      <c r="C31" s="71" t="inlineStr">
        <is>
          <t>20%</t>
        </is>
      </c>
      <c r="D31" s="70" t="n">
        <v>25.6</v>
      </c>
      <c r="E31" s="25" t="inlineStr">
        <is>
          <t>Industry standard</t>
        </is>
      </c>
      <c r="F31" s="25" t="inlineStr">
        <is>
          <t>Full team 32 hrs. Minimum 2. GHCP generates runbook.</t>
        </is>
      </c>
    </row>
    <row r="32" ht="22" customHeight="1">
      <c r="A32" s="61" t="inlineStr">
        <is>
          <t>DMS Infrastructure (fixed)</t>
        </is>
      </c>
      <c r="B32" s="64" t="n">
        <v>24</v>
      </c>
      <c r="C32" s="65" t="inlineStr">
        <is>
          <t>40%</t>
        </is>
      </c>
      <c r="D32" s="64" t="n">
        <v>14.4</v>
      </c>
      <c r="E32" s="19" t="inlineStr">
        <is>
          <t>AWS setup baseline</t>
        </is>
      </c>
      <c r="F32" s="19" t="inlineStr">
        <is>
          <t>VPC, endpoints, CloudWatch. Fixed regardless of DB size.</t>
        </is>
      </c>
    </row>
    <row r="33" ht="22" customHeight="1">
      <c r="A33" s="72" t="inlineStr">
        <is>
          <t>ADF Copy Activity</t>
        </is>
      </c>
      <c r="B33" s="73" t="n">
        <v>2</v>
      </c>
      <c r="C33" s="74" t="inlineStr">
        <is>
          <t>65%</t>
        </is>
      </c>
      <c r="D33" s="73" t="n">
        <v>0.7</v>
      </c>
      <c r="E33" s="32" t="inlineStr">
        <is>
          <t>Devin DAG gen</t>
        </is>
      </c>
      <c r="F33" s="32" t="inlineStr">
        <is>
          <t>Devin reads ADF JSON → Airflow DAG + tests. ~42 min.</t>
        </is>
      </c>
    </row>
    <row r="34" ht="22" customHeight="1">
      <c r="A34" s="61" t="inlineStr">
        <is>
          <t>ADF Stored Proc Activity</t>
        </is>
      </c>
      <c r="B34" s="64" t="n">
        <v>1.5</v>
      </c>
      <c r="C34" s="65" t="inlineStr">
        <is>
          <t>65%</t>
        </is>
      </c>
      <c r="D34" s="64" t="n">
        <v>0.525</v>
      </c>
      <c r="E34" s="19" t="inlineStr">
        <is>
          <t>Devin benchmark</t>
        </is>
      </c>
      <c r="F34" s="19" t="inlineStr">
        <is>
          <t>→ Airflow PostgresOperator. Fast conversion.</t>
        </is>
      </c>
    </row>
    <row r="35" ht="22" customHeight="1">
      <c r="A35" s="72" t="inlineStr">
        <is>
          <t>ADF REST/Web Activity</t>
        </is>
      </c>
      <c r="B35" s="73" t="n">
        <v>3</v>
      </c>
      <c r="C35" s="74" t="inlineStr">
        <is>
          <t>55%</t>
        </is>
      </c>
      <c r="D35" s="73" t="n">
        <v>1.35</v>
      </c>
      <c r="E35" s="32" t="inlineStr">
        <is>
          <t>Devin benchmark</t>
        </is>
      </c>
      <c r="F35" s="32" t="inlineStr">
        <is>
          <t>→ Airflow HttpOperator. 1.35 hrs avg.</t>
        </is>
      </c>
    </row>
    <row r="36" ht="22" customHeight="1">
      <c r="A36" s="61" t="inlineStr">
        <is>
          <t>ADF Data Flow — Simple</t>
        </is>
      </c>
      <c r="B36" s="64" t="n">
        <v>4</v>
      </c>
      <c r="C36" s="65" t="inlineStr">
        <is>
          <t>55%</t>
        </is>
      </c>
      <c r="D36" s="64" t="n">
        <v>1.8</v>
      </c>
      <c r="E36" s="19" t="inlineStr">
        <is>
          <t>Devin→PySpark bench</t>
        </is>
      </c>
      <c r="F36" s="19" t="inlineStr">
        <is>
          <t>Filter, derive, sort, aggregate. Devin converts.</t>
        </is>
      </c>
    </row>
    <row r="37" ht="22" customHeight="1">
      <c r="A37" s="72" t="inlineStr">
        <is>
          <t>ADF Data Flow — Complex</t>
        </is>
      </c>
      <c r="B37" s="73" t="n">
        <v>8</v>
      </c>
      <c r="C37" s="74" t="inlineStr">
        <is>
          <t>40%</t>
        </is>
      </c>
      <c r="D37" s="73" t="n">
        <v>4.8</v>
      </c>
      <c r="E37" s="32" t="inlineStr">
        <is>
          <t>GHCP pair coding</t>
        </is>
      </c>
      <c r="F37" s="32" t="inlineStr">
        <is>
          <t>Billing flows = complex. Window fns, SCD logic.</t>
        </is>
      </c>
    </row>
    <row r="38" ht="22" customHeight="1">
      <c r="A38" s="61" t="inlineStr">
        <is>
          <t>Custom .NET Activity</t>
        </is>
      </c>
      <c r="B38" s="64" t="n">
        <v>16</v>
      </c>
      <c r="C38" s="65" t="inlineStr">
        <is>
          <t>35%</t>
        </is>
      </c>
      <c r="D38" s="64" t="n">
        <v>10.4</v>
      </c>
      <c r="E38" s="19" t="inlineStr">
        <is>
          <t>Manual rewrite</t>
        </is>
      </c>
      <c r="F38" s="19" t="inlineStr">
        <is>
          <t>Complete Python/Lambda rewrite. GHCP reduces typing.</t>
        </is>
      </c>
    </row>
    <row r="39" ht="22" customHeight="1">
      <c r="A39" s="72" t="inlineStr">
        <is>
          <t>Azure-specific pipelines</t>
        </is>
      </c>
      <c r="B39" s="73" t="n">
        <v>24</v>
      </c>
      <c r="C39" s="74" t="inlineStr">
        <is>
          <t>20%</t>
        </is>
      </c>
      <c r="D39" s="73" t="n">
        <v>19.2</v>
      </c>
      <c r="E39" s="32" t="inlineStr">
        <is>
          <t>Redesign required</t>
        </is>
      </c>
      <c r="F39" s="32" t="inlineStr">
        <is>
          <t>ADLS/Synapse deps. High uncertainty. Flag early.</t>
        </is>
      </c>
    </row>
    <row r="40" ht="22" customHeight="1">
      <c r="A40" s="61" t="inlineStr">
        <is>
          <t>Azure Functions</t>
        </is>
      </c>
      <c r="B40" s="64" t="n">
        <v>8</v>
      </c>
      <c r="C40" s="65" t="inlineStr">
        <is>
          <t>40%</t>
        </is>
      </c>
      <c r="D40" s="64" t="n">
        <v>4.8</v>
      </c>
      <c r="E40" s="19" t="inlineStr">
        <is>
          <t>GHCP benchmark</t>
        </is>
      </c>
      <c r="F40" s="19" t="inlineStr">
        <is>
          <t>→ Lambda/Step Functions. Azure SDK dependency risk.</t>
        </is>
      </c>
    </row>
    <row r="41" ht="22" customHeight="1">
      <c r="A41" s="72" t="inlineStr">
        <is>
          <t>ETL Parallel Validation</t>
        </is>
      </c>
      <c r="B41" s="73" t="n">
        <v>1</v>
      </c>
      <c r="C41" s="74" t="inlineStr">
        <is>
          <t>55%</t>
        </is>
      </c>
      <c r="D41" s="73" t="n">
        <v>0.45</v>
      </c>
      <c r="E41" s="32" t="inlineStr">
        <is>
          <t>Devin diff scripts</t>
        </is>
      </c>
      <c r="F41" s="32" t="inlineStr">
        <is>
          <t>ADF output vs Airflow output row-level comparison.</t>
        </is>
      </c>
    </row>
    <row r="42" ht="22" customHeight="1">
      <c r="A42" s="61" t="inlineStr">
        <is>
          <t>MWAA + Glue Setup (fixed)</t>
        </is>
      </c>
      <c r="B42" s="64" t="n">
        <v>24</v>
      </c>
      <c r="C42" s="65" t="inlineStr">
        <is>
          <t>50%</t>
        </is>
      </c>
      <c r="D42" s="64" t="n">
        <v>12</v>
      </c>
      <c r="E42" s="19" t="inlineStr">
        <is>
          <t>AWS setup baseline</t>
        </is>
      </c>
      <c r="F42" s="19" t="inlineStr">
        <is>
          <t>Infrastructure setup. Fixed cost (enter count=1).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2026-04-12T22:32:07Z</dcterms:created>
  <dcterms:modified xmlns:dcterms="http://purl.org/dc/terms/" xmlns:xsi="http://www.w3.org/2001/XMLSchema-instance" xsi:type="dcterms:W3CDTF">2026-04-12T22:32:07Z</dcterms:modified>
</cp:coreProperties>
</file>