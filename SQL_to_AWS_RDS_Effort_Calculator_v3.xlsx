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✏️ SME Input" sheetId="1" state="visible" r:id="rId3"/>
    <sheet name="📋 App Effort Detail" sheetId="2" state="visible" r:id="rId4"/>
    <sheet name="📊 Dashboard" sheetId="3" state="visible" r:id="rId5"/>
    <sheet name="🔍 App Pivot View" sheetId="4" state="visible" r:id="rId6"/>
    <sheet name="📅 Wave Plan" sheetId="5" state="visible" r:id="rId7"/>
    <sheet name="⚙️ Rate Card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<sst xmlns="http://schemas.openxmlformats.org/spreadsheetml/2006/main" count="466" uniqueCount="276">
  <si>
    <t xml:space="preserve">📋 INSTRUCTIONS: Fill in ORANGE cells only.  S.No = sequence number | VAST ID = your VAST system ID | APP ID = application code.  Dropdown cells show ▼ — click to select.  Leave rows blank if not used.</t>
  </si>
  <si>
    <t xml:space="preserve">IDENTIFIERS</t>
  </si>
  <si>
    <t xml:space="preserve">APPLICATION &amp; WAVE</t>
  </si>
  <si>
    <t xml:space="preserve">DATABASE &amp; OBJECT INVENTORY</t>
  </si>
  <si>
    <t xml:space="preserve">ETL &amp; REPORTING</t>
  </si>
  <si>
    <t xml:space="preserve">INFORMATICA &amp; REPLICATION</t>
  </si>
  <si>
    <t xml:space="preserve">NOTES</t>
  </si>
  <si>
    <t xml:space="preserve">S.No</t>
  </si>
  <si>
    <t xml:space="preserve">VAST ID</t>
  </si>
  <si>
    <t xml:space="preserve">APP ID</t>
  </si>
  <si>
    <t xml:space="preserve">Application Name</t>
  </si>
  <si>
    <t xml:space="preserve">Wave /
Release</t>
  </si>
  <si>
    <t xml:space="preserve">DB Size
(GB)</t>
  </si>
  <si>
    <t xml:space="preserve">No. of
Tables</t>
  </si>
  <si>
    <t xml:space="preserve">No. of
Stored Procs</t>
  </si>
  <si>
    <t xml:space="preserve">No. of
Views</t>
  </si>
  <si>
    <t xml:space="preserve">No. of
Triggers</t>
  </si>
  <si>
    <t xml:space="preserve">SQL Agent
Jobs</t>
  </si>
  <si>
    <t xml:space="preserve">Linked
Servers</t>
  </si>
  <si>
    <t xml:space="preserve">CLR
Objects</t>
  </si>
  <si>
    <t xml:space="preserve">SSIS
Packages</t>
  </si>
  <si>
    <t xml:space="preserve">SSRS
Reports</t>
  </si>
  <si>
    <t xml:space="preserve">Informatica
Workflows/Jobs
(No workflow
change — count)</t>
  </si>
  <si>
    <t xml:space="preserve">SSIS
Complexity</t>
  </si>
  <si>
    <t xml:space="preserve">SSRS
Strategy</t>
  </si>
  <si>
    <t xml:space="preserve">Informatica
Job Count</t>
  </si>
  <si>
    <t xml:space="preserve">Replication
Articles
(Trans+Merge)</t>
  </si>
  <si>
    <t xml:space="preserve">Snapshot
Publications</t>
  </si>
  <si>
    <t xml:space="preserve">Replication
Type</t>
  </si>
  <si>
    <t xml:space="preserve">SME Notes /
Risks</t>
  </si>
  <si>
    <t xml:space="preserve">⬆ ENTER</t>
  </si>
  <si>
    <t xml:space="preserve">▼ Select</t>
  </si>
  <si>
    <t xml:space="preserve">Free text</t>
  </si>
  <si>
    <t xml:space="preserve">TOTALS</t>
  </si>
  <si>
    <t xml:space="preserve">Formulas auto-calculate from SME Input sheet values. Orange = SME editable input. Green = calculated output. Hours = Days × 8. AI saving applied per role. Contingency = AI-adj × (1 + buffer%).</t>
  </si>
  <si>
    <t xml:space="preserve">APP IDENTITY</t>
  </si>
  <si>
    <t xml:space="preserve">DATABASE PROFILE</t>
  </si>
  <si>
    <t xml:space="preserve">SQL OBJECT INVENTORY</t>
  </si>
  <si>
    <t xml:space="preserve">EFFORT TOTALS (hours)</t>
  </si>
  <si>
    <t xml:space="preserve">INFORMATICA EFFORT (hrs)</t>
  </si>
  <si>
    <t xml:space="preserve">ENVIRONMENT BREAKDOWN — Data &amp; ETL (hrs)</t>
  </si>
  <si>
    <t xml:space="preserve">TOTAL BY ENV (hrs)</t>
  </si>
  <si>
    <t xml:space="preserve">APPLICATION IDENTIFIERS</t>
  </si>
  <si>
    <t xml:space="preserve">Tier (Auto)</t>
  </si>
  <si>
    <t xml:space="preserve">Tables</t>
  </si>
  <si>
    <t xml:space="preserve">Stored
Procs</t>
  </si>
  <si>
    <t xml:space="preserve">Views</t>
  </si>
  <si>
    <t xml:space="preserve">Triggers</t>
  </si>
  <si>
    <t xml:space="preserve">Informatica
Workflows/Jobs
(No workflow change
— count for JDBC)</t>
  </si>
  <si>
    <t xml:space="preserve">SSRS Strategy</t>
  </si>
  <si>
    <t xml:space="preserve">Wave</t>
  </si>
  <si>
    <t xml:space="preserve">Gross
Hours</t>
  </si>
  <si>
    <t xml:space="preserve">AI-Adj
Hours</t>
  </si>
  <si>
    <t xml:space="preserve">Hours w/
Contingency</t>
  </si>
  <si>
    <t xml:space="preserve">Inform.
Dev hrs</t>
  </si>
  <si>
    <t xml:space="preserve">Inform.
Test hrs</t>
  </si>
  <si>
    <t xml:space="preserve">Inform.
Prod hrs</t>
  </si>
  <si>
    <t xml:space="preserve">Inform.
Total hrs</t>
  </si>
  <si>
    <t xml:space="preserve">Data
Dev hrs</t>
  </si>
  <si>
    <t xml:space="preserve">Data
Test hrs</t>
  </si>
  <si>
    <t xml:space="preserve">Data
Prod hrs</t>
  </si>
  <si>
    <t xml:space="preserve">ETL
Dev hrs</t>
  </si>
  <si>
    <t xml:space="preserve">ETL
Test hrs</t>
  </si>
  <si>
    <t xml:space="preserve">ETL
Prod hrs</t>
  </si>
  <si>
    <t xml:space="preserve">Total
Dev hrs</t>
  </si>
  <si>
    <t xml:space="preserve">Total
Test hrs</t>
  </si>
  <si>
    <t xml:space="preserve">Total
Prod hrs</t>
  </si>
  <si>
    <t xml:space="preserve">Label/Formula</t>
  </si>
  <si>
    <t xml:space="preserve">⬆ Input</t>
  </si>
  <si>
    <t xml:space="preserve">Formula</t>
  </si>
  <si>
    <t xml:space="preserve">Ref SME</t>
  </si>
  <si>
    <t xml:space="preserve">29 Applications  |  SSIS→AWS Glue  |  Informatica: No Change  |  9-Month Rolling  |  GHCP + Devin AI</t>
  </si>
  <si>
    <t xml:space="preserve">PROGRAMME ASSUMPTIONS  (Orange = editable inputs)</t>
  </si>
  <si>
    <t xml:space="preserve">Hours per Day (basis)</t>
  </si>
  <si>
    <t xml:space="preserve">Programme Timeline (months)</t>
  </si>
  <si>
    <t xml:space="preserve">AI Saving % — Schema/Code/DBA</t>
  </si>
  <si>
    <t xml:space="preserve">AI Saving % — ETL (SSIS→Glue)</t>
  </si>
  <si>
    <t xml:space="preserve">AI Saving % — SSRS / BI Work</t>
  </si>
  <si>
    <t xml:space="preserve">AI Saving % — Testing &amp; QA</t>
  </si>
  <si>
    <t xml:space="preserve">Contingency Buffer %</t>
  </si>
  <si>
    <t xml:space="preserve">Parallel Apps in Flight (wave)</t>
  </si>
  <si>
    <t xml:space="preserve">PROGRAMME TOTALS  (Live — recalculates from App Effort Detail)</t>
  </si>
  <si>
    <t xml:space="preserve">Total Apps</t>
  </si>
  <si>
    <t xml:space="preserve">Total DB (GB)</t>
  </si>
  <si>
    <t xml:space="preserve">Gross Hours</t>
  </si>
  <si>
    <t xml:space="preserve">AI-Adj Hours</t>
  </si>
  <si>
    <t xml:space="preserve">Hours w/ Conting.</t>
  </si>
  <si>
    <t xml:space="preserve">FTE Equiv.</t>
  </si>
  <si>
    <t xml:space="preserve">Days Equiv.</t>
  </si>
  <si>
    <t xml:space="preserve">EFFORT BY ROLE  (Hours)</t>
  </si>
  <si>
    <t xml:space="preserve">Role</t>
  </si>
  <si>
    <t xml:space="preserve">AI Saving %</t>
  </si>
  <si>
    <t xml:space="preserve">With Contingency</t>
  </si>
  <si>
    <t xml:space="preserve">% of Total</t>
  </si>
  <si>
    <t xml:space="preserve">Solution Architect</t>
  </si>
  <si>
    <t xml:space="preserve">DBA / Database Engineer</t>
  </si>
  <si>
    <t xml:space="preserve">ETL Developer (SSIS→Glue)</t>
  </si>
  <si>
    <t xml:space="preserve">SSRS / BI Developer</t>
  </si>
  <si>
    <t xml:space="preserve">AWS Infra / DevOps</t>
  </si>
  <si>
    <t xml:space="preserve">QA / Test Engineer</t>
  </si>
  <si>
    <t xml:space="preserve">Project Manager</t>
  </si>
  <si>
    <t xml:space="preserve">TOTAL</t>
  </si>
  <si>
    <t xml:space="preserve">LEGEND</t>
  </si>
  <si>
    <t xml:space="preserve">  ●  Orange = Editable assumption — change to model different scenarios</t>
  </si>
  <si>
    <t xml:space="preserve">  ●  Blue = Locked programme parameter</t>
  </si>
  <si>
    <t xml:space="preserve">  ●  Green = Calculated output (hours incl. AI saving + contingency)</t>
  </si>
  <si>
    <t xml:space="preserve">INFORMATICA EFFORT  (Connection update per job × 3 environments)</t>
  </si>
  <si>
    <t xml:space="preserve">Total Jobs</t>
  </si>
  <si>
    <t xml:space="preserve">Dev (hrs)</t>
  </si>
  <si>
    <t xml:space="preserve">Test (hrs)</t>
  </si>
  <si>
    <t xml:space="preserve">Prod (hrs)</t>
  </si>
  <si>
    <t xml:space="preserve">All Envs (hrs)</t>
  </si>
  <si>
    <t xml:space="preserve">TOTAL EFFORT BY ENVIRONMENT  (All layers — hours)</t>
  </si>
  <si>
    <t xml:space="preserve">Development
(Dev RDS)</t>
  </si>
  <si>
    <t xml:space="preserve">Test / UAT
(Test RDS)</t>
  </si>
  <si>
    <t xml:space="preserve">Production
(Prod RDS)</t>
  </si>
  <si>
    <t xml:space="preserve">Total All
Environments</t>
  </si>
  <si>
    <t xml:space="preserve">REPLICATION INVENTORY SUMMARY</t>
  </si>
  <si>
    <t xml:space="preserve">Apps w/ Replication</t>
  </si>
  <si>
    <t xml:space="preserve">Total Articles
(Trans+Merge)</t>
  </si>
  <si>
    <t xml:space="preserve">Total Snapshot
Pubs</t>
  </si>
  <si>
    <t xml:space="preserve">Transactional</t>
  </si>
  <si>
    <t xml:space="preserve">Merge/Snapshot</t>
  </si>
  <si>
    <t xml:space="preserve">None</t>
  </si>
  <si>
    <t xml:space="preserve">APPLICATION DRILL-DOWN VIEW  —  Select an application to see full effort breakdown</t>
  </si>
  <si>
    <t xml:space="preserve">SELECT APPLICATION:</t>
  </si>
  <si>
    <t xml:space="preserve">▼ Click C5 to select an application from the dropdown. The list updates automatically as you enter app names in the SME Input sheet.</t>
  </si>
  <si>
    <t xml:space="preserve">Matched Row (ref):</t>
  </si>
  <si>
    <t xml:space="preserve">APPLICATION PROFILE</t>
  </si>
  <si>
    <t xml:space="preserve">Migration Tier</t>
  </si>
  <si>
    <t xml:space="preserve">DB Size (GB)</t>
  </si>
  <si>
    <t xml:space="preserve">Wave / Release</t>
  </si>
  <si>
    <t xml:space="preserve">SSIS Complexity</t>
  </si>
  <si>
    <t xml:space="preserve">Stored Procedures</t>
  </si>
  <si>
    <t xml:space="preserve">SQL Agent Jobs</t>
  </si>
  <si>
    <t xml:space="preserve">Linked Servers</t>
  </si>
  <si>
    <t xml:space="preserve">CLR Objects</t>
  </si>
  <si>
    <t xml:space="preserve">SSIS Packages</t>
  </si>
  <si>
    <t xml:space="preserve">SSRS Reports</t>
  </si>
  <si>
    <t xml:space="preserve">Informatica Workflows</t>
  </si>
  <si>
    <t xml:space="preserve">EFFORT BREAKDOWN (HOURS)</t>
  </si>
  <si>
    <t xml:space="preserve">w/ Contingency</t>
  </si>
  <si>
    <t xml:space="preserve">DBA / DB Engineer</t>
  </si>
  <si>
    <t xml:space="preserve">ETL Dev (SSIS→Glue)</t>
  </si>
  <si>
    <t xml:space="preserve">TOTAL (this app)</t>
  </si>
  <si>
    <t xml:space="preserve">APPLICATION SUMMARY TOTALS</t>
  </si>
  <si>
    <t xml:space="preserve">Tier</t>
  </si>
  <si>
    <t xml:space="preserve">INFORMATICA EFFORT (Hours — by Environment)</t>
  </si>
  <si>
    <t xml:space="preserve">Metric</t>
  </si>
  <si>
    <t xml:space="preserve">Total (all envs)</t>
  </si>
  <si>
    <t xml:space="preserve">Job Count</t>
  </si>
  <si>
    <t xml:space="preserve">—</t>
  </si>
  <si>
    <t xml:space="preserve">JDBC Update</t>
  </si>
  <si>
    <t xml:space="preserve">ENVIRONMENT EFFORT BREAKDOWN (Hours)</t>
  </si>
  <si>
    <t xml:space="preserve">Layer</t>
  </si>
  <si>
    <t xml:space="preserve">Data Migration</t>
  </si>
  <si>
    <t xml:space="preserve">ETL (Glue)</t>
  </si>
  <si>
    <t xml:space="preserve">Total (all)</t>
  </si>
  <si>
    <t xml:space="preserve">SQL SERVER REPLICATION</t>
  </si>
  <si>
    <t xml:space="preserve">Replication Type</t>
  </si>
  <si>
    <t xml:space="preserve">Replication Articles (Trans+Merge)</t>
  </si>
  <si>
    <t xml:space="preserve">Snapshot Publications</t>
  </si>
  <si>
    <t xml:space="preserve">Activity</t>
  </si>
  <si>
    <t xml:space="preserve">Month 1</t>
  </si>
  <si>
    <t xml:space="preserve">Month 2</t>
  </si>
  <si>
    <t xml:space="preserve">Month 3</t>
  </si>
  <si>
    <t xml:space="preserve">Month 4</t>
  </si>
  <si>
    <t xml:space="preserve">Month 5</t>
  </si>
  <si>
    <t xml:space="preserve">Month 6</t>
  </si>
  <si>
    <t xml:space="preserve">Month 7</t>
  </si>
  <si>
    <t xml:space="preserve">Month 8</t>
  </si>
  <si>
    <t xml:space="preserve">Month 9</t>
  </si>
  <si>
    <t xml:space="preserve">PHASE 0 — FOUNDATION &amp; PLANNING</t>
  </si>
  <si>
    <t xml:space="preserve">  AWS Landing Zone, VPC, Direct Connect</t>
  </si>
  <si>
    <t xml:space="preserve">█</t>
  </si>
  <si>
    <t xml:space="preserve">  S3 Backup Bucket + IAM + DMS Instance Setup</t>
  </si>
  <si>
    <t xml:space="preserve">  SCT Assessment (all 29 apps)</t>
  </si>
  <si>
    <t xml:space="preserve">  SSIS Inventory + SSRS Audit</t>
  </si>
  <si>
    <t xml:space="preserve">  Reusable Artefact Creation (scripts/templates)</t>
  </si>
  <si>
    <t xml:space="preserve">  AWS CDK Pipeline + Secrets Manager Setup</t>
  </si>
  <si>
    <t xml:space="preserve">  Team Training (RDS, Glue, CDK)</t>
  </si>
  <si>
    <t xml:space="preserve">PHASE 1 — WAVE 1: SIMPLE APPS (~9 apps)</t>
  </si>
  <si>
    <t xml:space="preserve">  Backup/Restore (T1 Apps)</t>
  </si>
  <si>
    <t xml:space="preserve">  DMS CDC Setup + Monitoring</t>
  </si>
  <si>
    <t xml:space="preserve">  SSIS → Glue (Low/Medium)</t>
  </si>
  <si>
    <t xml:space="preserve">  SSRS EC2 Lift / QuickSight Build</t>
  </si>
  <si>
    <t xml:space="preserve">  UAT + Smoke Test</t>
  </si>
  <si>
    <t xml:space="preserve">  Cutover &amp; Go-Live (Wave 1)</t>
  </si>
  <si>
    <t xml:space="preserve">PHASE 2 — WAVE 2: MODERATE APPS (~8 apps)</t>
  </si>
  <si>
    <t xml:space="preserve">  Backup/Restore + Differential Chain</t>
  </si>
  <si>
    <t xml:space="preserve">  DMS CDC + Linked Server Remediation</t>
  </si>
  <si>
    <t xml:space="preserve">  SSIS → Glue (Medium Complexity)</t>
  </si>
  <si>
    <t xml:space="preserve">  SSRS EC2 + QuickSight</t>
  </si>
  <si>
    <t xml:space="preserve">  Performance Testing (HammerDB)</t>
  </si>
  <si>
    <t xml:space="preserve">  Cutover &amp; Go-Live (Wave 2)</t>
  </si>
  <si>
    <t xml:space="preserve">PHASE 3 — WAVE 3: MOD-COMPLEX APPS (~8 apps)</t>
  </si>
  <si>
    <t xml:space="preserve">  Backup/Restore + S3 Transfer Accel.</t>
  </si>
  <si>
    <t xml:space="preserve">  CLR Object Remediation</t>
  </si>
  <si>
    <t xml:space="preserve">  SSIS → Glue (High Complexity)</t>
  </si>
  <si>
    <t xml:space="preserve">  Informatica JDBC Repoint (UAT)</t>
  </si>
  <si>
    <t xml:space="preserve">  SSRS Power BI + EC2</t>
  </si>
  <si>
    <t xml:space="preserve">  UAT + Load Test</t>
  </si>
  <si>
    <t xml:space="preserve">  Cutover &amp; Go-Live (Wave 3)</t>
  </si>
  <si>
    <t xml:space="preserve">PHASE 4 — WAVE 4: COMPLEX APPS (~4 apps)</t>
  </si>
  <si>
    <t xml:space="preserve">  Differential Backup Chain + Restore</t>
  </si>
  <si>
    <t xml:space="preserve">  CLR + Linked Server Final Remediation</t>
  </si>
  <si>
    <t xml:space="preserve">  SSIS → Glue (High + Step Functions)</t>
  </si>
  <si>
    <t xml:space="preserve">  SSRS Power BI Executive + EC2 Ops</t>
  </si>
  <si>
    <t xml:space="preserve">  Full Regression + 5-Day Parallel Run</t>
  </si>
  <si>
    <t xml:space="preserve">  Cutover &amp; Go-Live (Wave 4)</t>
  </si>
  <si>
    <t xml:space="preserve">PHASE 5 — STABILISATION &amp; CLOSURE</t>
  </si>
  <si>
    <t xml:space="preserve">  30-Day Hypercare Monitoring</t>
  </si>
  <si>
    <t xml:space="preserve">  Reserved Instance Purchase</t>
  </si>
  <si>
    <t xml:space="preserve">  On-Prem Decommission Planning</t>
  </si>
  <si>
    <t xml:space="preserve">  Final Documentation + BAU Handover</t>
  </si>
  <si>
    <t xml:space="preserve">  Post-Migration Optimisation Review</t>
  </si>
  <si>
    <t xml:space="preserve">  ■ = Active in this month     Bars are indicative; refine from App Inventory wave assignments</t>
  </si>
  <si>
    <t xml:space="preserve">DATABASE MIGRATION RATES (per unit)</t>
  </si>
  <si>
    <t xml:space="preserve">Rate Driver</t>
  </si>
  <si>
    <t xml:space="preserve">Base Rate</t>
  </si>
  <si>
    <t xml:space="preserve">Unit</t>
  </si>
  <si>
    <t xml:space="preserve">Notes</t>
  </si>
  <si>
    <t xml:space="preserve">Schema/object base (per 100 GB)</t>
  </si>
  <si>
    <t xml:space="preserve">hrs</t>
  </si>
  <si>
    <t xml:space="preserve">AWS SCT review + object remediation; GHCP accelerated (was 0.5 days)</t>
  </si>
  <si>
    <t xml:space="preserve">Data migration (per 100 GB)</t>
  </si>
  <si>
    <t xml:space="preserve">DMS CDC setup + monitoring; backup/restore is the bulk method</t>
  </si>
  <si>
    <t xml:space="preserve">Stored procedure remediation (per SP)</t>
  </si>
  <si>
    <t xml:space="preserve">SQL dialect fixes for RDS-incompatible patterns; GHCP accelerated</t>
  </si>
  <si>
    <t xml:space="preserve">View conversion (per view)</t>
  </si>
  <si>
    <t xml:space="preserve">Mostly unchanged in backup/restore; flags only for linked server refs</t>
  </si>
  <si>
    <t xml:space="preserve">Trigger conversion (per trigger)</t>
  </si>
  <si>
    <t xml:space="preserve">Logic validation required post-restore</t>
  </si>
  <si>
    <t xml:space="preserve">SQL Agent Job → EventBridge (per job)</t>
  </si>
  <si>
    <t xml:space="preserve">GHCP generates CDK EventBridge constructs from Agent job definitions</t>
  </si>
  <si>
    <t xml:space="preserve">Linked server removal (per linked svr)</t>
  </si>
  <si>
    <t xml:space="preserve">Cross-DB query refactor; architect-guided pattern</t>
  </si>
  <si>
    <t xml:space="preserve">CLR object rewrite (per CLR)</t>
  </si>
  <si>
    <t xml:space="preserve">Rewrite to T-SQL stored proc or AWS Lambda; architect sign-off required</t>
  </si>
  <si>
    <t xml:space="preserve">ETL MIGRATION  —  SSIS → AWS GLUE</t>
  </si>
  <si>
    <t xml:space="preserve">SSIS Low complexity (per package)</t>
  </si>
  <si>
    <t xml:space="preserve">Simple copy; Glue Studio Visual ETL; GHCP generates (was 0.5 days)</t>
  </si>
  <si>
    <t xml:space="preserve">SSIS Medium complexity (per package)</t>
  </si>
  <si>
    <t xml:space="preserve">Transforms, lookups; Glue PySpark from template (was 1.0 day)</t>
  </si>
  <si>
    <t xml:space="preserve">SSIS High complexity (per package)</t>
  </si>
  <si>
    <t xml:space="preserve">Loops, dynamic SQL, error handling; Glue PySpark + Step Functions (was 2.0 days)</t>
  </si>
  <si>
    <t xml:space="preserve">Informatica JDBC repoint (per app)</t>
  </si>
  <si>
    <t xml:space="preserve">Config-only; JDBC connection string update in PowerCenter — no workflow change (was 0.1 days)</t>
  </si>
  <si>
    <t xml:space="preserve">SSRS REPORTING MIGRATION</t>
  </si>
  <si>
    <t xml:space="preserve">SSRS → EC2 Lift &amp; Shift (per report)</t>
  </si>
  <si>
    <t xml:space="preserve">SSRS on Windows EC2; connection repointed to RDS endpoint</t>
  </si>
  <si>
    <t xml:space="preserve">SSRS → Custom Reporting Solution (per report)</t>
  </si>
  <si>
    <t xml:space="preserve">Org-approved custom reporting platform; effort depends on report complexity</t>
  </si>
  <si>
    <t xml:space="preserve">SSRS → AWS QuickSight (per report)</t>
  </si>
  <si>
    <t xml:space="preserve">Dataset + visual rebuild in QuickSight; SPICE layer for performance</t>
  </si>
  <si>
    <t xml:space="preserve">SSRS → Power BI (per report)</t>
  </si>
  <si>
    <t xml:space="preserve">Power BI Desktop → Service; DirectQuery or Import to RDS</t>
  </si>
  <si>
    <t xml:space="preserve">SSRS Decommission (per report)</t>
  </si>
  <si>
    <t xml:space="preserve">Access log audit; archive and remove unused reports</t>
  </si>
  <si>
    <t xml:space="preserve">INFRASTRUCTURE &amp; DELIVERY</t>
  </si>
  <si>
    <t xml:space="preserve">AWS infra base per application</t>
  </si>
  <si>
    <t xml:space="preserve">VPC, SG, RDS instance, Secrets Mgr, DMS, CloudWatch setup</t>
  </si>
  <si>
    <t xml:space="preserve">AWS infra per 100 GB (DMS, storage)</t>
  </si>
  <si>
    <t xml:space="preserve">DMS replication, S3 storage, CloudWatch alarms</t>
  </si>
  <si>
    <t xml:space="preserve">QA effort multiplier (of tech total)</t>
  </si>
  <si>
    <t xml:space="preserve">ratio</t>
  </si>
  <si>
    <t xml:space="preserve">Schema + ETL + SSRS + infra; includes data integrity + load testing</t>
  </si>
  <si>
    <t xml:space="preserve">PM effort multiplier</t>
  </si>
  <si>
    <t xml:space="preserve">Status, risk, stakeholder, wave coordination</t>
  </si>
  <si>
    <t xml:space="preserve">Solution Architect multiplier</t>
  </si>
  <si>
    <t xml:space="preserve">Design governance, CLR patterns, cutover oversight</t>
  </si>
  <si>
    <t xml:space="preserve">Hours per day (basis)</t>
  </si>
  <si>
    <t xml:space="preserve">All effort calculations multiply days × 8 for hours</t>
  </si>
  <si>
    <t xml:space="preserve">Contingency buffer</t>
  </si>
  <si>
    <t xml:space="preserve">percent</t>
  </si>
  <si>
    <t xml:space="preserve">Applied to AI-adjusted effort across all roles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</si>
</sst>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"/>
    <numFmt numFmtId="166" formatCode="General"/>
    <numFmt numFmtId="167" formatCode="#,##0.0"/>
    <numFmt numFmtId="168" formatCode="0\%"/>
    <numFmt numFmtId="169" formatCode="0.0"/>
    <numFmt numFmtId="170" formatCode="0.0%"/>
  </numFmts>
  <fonts count="4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name val="Arial"/>
      <family val="0"/>
      <charset val="1"/>
    </font>
    <font>
      <i val="true"/>
      <sz val="9"/>
      <color rgb="FF1F3864"/>
      <name val="Arial"/>
      <family val="0"/>
      <charset val="1"/>
    </font>
    <font>
      <b val="true"/>
      <sz val="8"/>
      <color rgb="FFFFFFFF"/>
      <name val="Arial"/>
      <family val="0"/>
      <charset val="1"/>
    </font>
    <font>
      <b val="true"/>
      <sz val="7"/>
      <color rgb="FFFF6600"/>
      <name val="Arial"/>
      <family val="0"/>
      <charset val="1"/>
    </font>
    <font>
      <i val="true"/>
      <sz val="7"/>
      <color rgb="FF595959"/>
      <name val="Arial"/>
      <family val="0"/>
      <charset val="1"/>
    </font>
    <font>
      <b val="true"/>
      <sz val="9"/>
      <color rgb="FFFF6600"/>
      <name val="Arial"/>
      <family val="0"/>
      <charset val="1"/>
    </font>
    <font>
      <sz val="9"/>
      <color rgb="FF595959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7"/>
      <color rgb="FF2E75B6"/>
      <name val="Arial"/>
      <family val="0"/>
      <charset val="1"/>
    </font>
    <font>
      <b val="true"/>
      <sz val="7"/>
      <color rgb="FF196419"/>
      <name val="Arial"/>
      <family val="0"/>
      <charset val="1"/>
    </font>
    <font>
      <b val="true"/>
      <sz val="9"/>
      <color rgb="FF1F3864"/>
      <name val="Arial"/>
      <family val="0"/>
      <charset val="1"/>
    </font>
    <font>
      <b val="true"/>
      <sz val="9"/>
      <color rgb="FF2E75B6"/>
      <name val="Arial"/>
      <family val="0"/>
      <charset val="1"/>
    </font>
    <font>
      <sz val="9"/>
      <color rgb="FFFF6600"/>
      <name val="Arial"/>
      <family val="0"/>
      <charset val="1"/>
    </font>
    <font>
      <b val="true"/>
      <sz val="9"/>
      <color rgb="FF196419"/>
      <name val="Arial"/>
      <family val="0"/>
      <charset val="1"/>
    </font>
    <font>
      <sz val="9"/>
      <color rgb="FF196419"/>
      <name val="Arial"/>
      <family val="0"/>
      <charset val="1"/>
    </font>
    <font>
      <sz val="9"/>
      <color rgb="FF2E75B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2E75B6"/>
      <name val="Arial"/>
      <family val="0"/>
      <charset val="1"/>
    </font>
    <font>
      <b val="true"/>
      <sz val="10"/>
      <color rgb="FFFF6600"/>
      <name val="Arial"/>
      <family val="0"/>
      <charset val="1"/>
    </font>
    <font>
      <b val="true"/>
      <sz val="16"/>
      <color rgb="FF1F3864"/>
      <name val="Arial"/>
      <family val="0"/>
      <charset val="1"/>
    </font>
    <font>
      <b val="true"/>
      <sz val="9"/>
      <name val="Arial"/>
      <family val="0"/>
      <charset val="1"/>
    </font>
    <font>
      <b val="true"/>
      <sz val="14"/>
      <color rgb="FF1F3864"/>
      <name val="Arial"/>
      <family val="0"/>
      <charset val="1"/>
    </font>
    <font>
      <b val="true"/>
      <sz val="16"/>
      <color rgb="FF375623"/>
      <name val="Arial"/>
      <family val="0"/>
      <charset val="1"/>
    </font>
    <font>
      <b val="true"/>
      <sz val="16"/>
      <color rgb="FF2E75B6"/>
      <name val="Arial"/>
      <family val="0"/>
      <charset val="1"/>
    </font>
    <font>
      <b val="true"/>
      <sz val="16"/>
      <color rgb="FFC00000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1"/>
      <color rgb="FFFF6600"/>
      <name val="Arial"/>
      <family val="0"/>
      <charset val="1"/>
    </font>
    <font>
      <i val="true"/>
      <sz val="9"/>
      <color rgb="FF595959"/>
      <name val="Arial"/>
      <family val="0"/>
      <charset val="1"/>
    </font>
    <font>
      <i val="true"/>
      <sz val="8"/>
      <color rgb="FF595959"/>
      <name val="Arial"/>
      <family val="0"/>
      <charset val="1"/>
    </font>
    <font>
      <sz val="8"/>
      <color rgb="FF595959"/>
      <name val="Arial"/>
      <family val="0"/>
      <charset val="1"/>
    </font>
    <font>
      <sz val="10"/>
      <color rgb="FF1F3864"/>
      <name val="Arial"/>
      <family val="0"/>
      <charset val="1"/>
    </font>
    <font>
      <sz val="9"/>
      <color rgb="FF1F3864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sz val="14"/>
      <color rgb="FF2E75B6"/>
      <name val="Arial"/>
      <family val="0"/>
      <charset val="1"/>
    </font>
    <font>
      <sz val="14"/>
      <color rgb="FF375623"/>
      <name val="Arial"/>
      <family val="0"/>
      <charset val="1"/>
    </font>
    <font>
      <sz val="14"/>
      <color rgb="FF7030A0"/>
      <name val="Arial"/>
      <family val="0"/>
      <charset val="1"/>
    </font>
    <font>
      <sz val="14"/>
      <color rgb="FFC00000"/>
      <name val="Arial"/>
      <family val="0"/>
      <charset val="1"/>
    </font>
    <font>
      <sz val="14"/>
      <color rgb="FF1F3864"/>
      <name val="Arial"/>
      <family val="0"/>
      <charset val="1"/>
    </font>
    <font>
      <sz val="14"/>
      <color rgb="FF595959"/>
      <name val="Arial"/>
      <family val="0"/>
      <charset val="1"/>
    </font>
    <font>
      <b val="true"/>
      <sz val="13"/>
      <color rgb="FFFFFFFF"/>
      <name val="Arial"/>
      <family val="0"/>
      <charset val="1"/>
    </font>
  </fonts>
  <fills count="20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D6E4F0"/>
        <bgColor rgb="FFD9E1F2"/>
      </patternFill>
    </fill>
    <fill>
      <patternFill patternType="solid">
        <fgColor rgb="FF7030A0"/>
        <bgColor rgb="FF993366"/>
      </patternFill>
    </fill>
    <fill>
      <patternFill patternType="solid">
        <fgColor rgb="FF2E75B6"/>
        <bgColor rgb="FF0066CC"/>
      </patternFill>
    </fill>
    <fill>
      <patternFill patternType="solid">
        <fgColor rgb="FF375623"/>
        <bgColor rgb="FF196419"/>
      </patternFill>
    </fill>
    <fill>
      <patternFill patternType="solid">
        <fgColor rgb="FFC00000"/>
        <bgColor rgb="FF800000"/>
      </patternFill>
    </fill>
    <fill>
      <patternFill patternType="solid">
        <fgColor rgb="FF595959"/>
        <bgColor rgb="FF375623"/>
      </patternFill>
    </fill>
    <fill>
      <patternFill patternType="solid">
        <fgColor rgb="FFFFF2CC"/>
        <bgColor rgb="FFFCE4D6"/>
      </patternFill>
    </fill>
    <fill>
      <patternFill patternType="solid">
        <fgColor rgb="FFEDEDED"/>
        <bgColor rgb="FFF2F2F2"/>
      </patternFill>
    </fill>
    <fill>
      <patternFill patternType="solid">
        <fgColor rgb="FFFFFFFF"/>
        <bgColor rgb="FFF0FFF0"/>
      </patternFill>
    </fill>
    <fill>
      <patternFill patternType="solid">
        <fgColor rgb="FFBDD7EE"/>
        <bgColor rgb="FFCCCCCC"/>
      </patternFill>
    </fill>
    <fill>
      <patternFill patternType="solid">
        <fgColor rgb="FFE2EFDA"/>
        <bgColor rgb="FFEDEDED"/>
      </patternFill>
    </fill>
    <fill>
      <patternFill patternType="solid">
        <fgColor rgb="FFF0FFF0"/>
        <bgColor rgb="FFF5F5F5"/>
      </patternFill>
    </fill>
    <fill>
      <patternFill patternType="solid">
        <fgColor rgb="FFF2F2F2"/>
        <bgColor rgb="FFF5F5F5"/>
      </patternFill>
    </fill>
    <fill>
      <patternFill patternType="solid">
        <fgColor rgb="FFF5F5F5"/>
        <bgColor rgb="FFF2F2F2"/>
      </patternFill>
    </fill>
    <fill>
      <patternFill patternType="solid">
        <fgColor rgb="FFE8D5F5"/>
        <bgColor rgb="FFD9E1F2"/>
      </patternFill>
    </fill>
    <fill>
      <patternFill patternType="solid">
        <fgColor rgb="FFFCE4D6"/>
        <bgColor rgb="FFFFF2CC"/>
      </patternFill>
    </fill>
    <fill>
      <patternFill patternType="solid">
        <fgColor rgb="FFD9E1F2"/>
        <bgColor rgb="FFD6E4F0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medium">
        <color rgb="FF2E75B6"/>
      </left>
      <right style="medium">
        <color rgb="FF2E75B6"/>
      </right>
      <top style="medium">
        <color rgb="FF2E75B6"/>
      </top>
      <bottom style="medium">
        <color rgb="FF2E75B6"/>
      </bottom>
      <diagonal/>
    </border>
    <border diagonalUp="false" diagonalDown="false">
      <left style="medium">
        <color rgb="FF1F3864"/>
      </left>
      <right style="medium">
        <color rgb="FF2E75B6"/>
      </right>
      <top style="medium">
        <color rgb="FF1F3864"/>
      </top>
      <bottom style="medium">
        <color rgb="FF1F386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1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11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11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11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2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1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14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6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6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7" fillId="1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1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8" fillId="1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9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1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1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4" fillId="11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8" fillId="1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9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1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5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5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3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4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5" fillId="1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4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9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7" fillId="1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4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4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11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4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4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4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0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20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9" fillId="1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1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0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7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27" fillId="1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8" fillId="1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9" fillId="1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30" fillId="1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31" fillId="9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4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27" fillId="1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2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33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34" fillId="9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5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3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5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6" fillId="1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1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4" fillId="1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4" fillId="11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6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38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38" fillId="1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7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4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4" fillId="1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4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0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27" fillId="1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1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1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9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0" fillId="11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6" fillId="1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40" fillId="1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40" fillId="11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1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1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1" borderId="2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2" fillId="1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3" fillId="1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4" fillId="1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5" fillId="1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6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6" fillId="15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7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9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6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11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6" fillId="11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2F2F2"/>
      <rgbColor rgb="FFFF00FF"/>
      <rgbColor rgb="FF00FFFF"/>
      <rgbColor rgb="FF800000"/>
      <rgbColor rgb="FF196419"/>
      <rgbColor rgb="FF000080"/>
      <rgbColor rgb="FF808000"/>
      <rgbColor rgb="FF800080"/>
      <rgbColor rgb="FF008080"/>
      <rgbColor rgb="FFCCCCCC"/>
      <rgbColor rgb="FF808080"/>
      <rgbColor rgb="FF9999FF"/>
      <rgbColor rgb="FF7030A0"/>
      <rgbColor rgb="FFFFF2CC"/>
      <rgbColor rgb="FFF0FFF0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4F0"/>
      <rgbColor rgb="FFE2EFDA"/>
      <rgbColor rgb="FFF5F5F5"/>
      <rgbColor rgb="FFD9E1F2"/>
      <rgbColor rgb="FFEDEDED"/>
      <rgbColor rgb="FFE8D5F5"/>
      <rgbColor rgb="FFFCE4D6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6600"/>
    <pageSetUpPr fitToPage="false"/>
  </sheetPr>
  <dimension ref="A1:AC3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8" topLeftCell="E9" activePane="bottomRight" state="frozen"/>
      <selection pane="topLeft" activeCell="A1" activeCellId="0" sqref="A1"/>
      <selection pane="topRight" activeCell="E1" activeCellId="0" sqref="E1"/>
      <selection pane="bottomLeft" activeCell="A9" activeCellId="0" sqref="A9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8"/>
    <col collapsed="false" customWidth="true" hidden="false" outlineLevel="0" max="5" min="3" style="1" width="16"/>
    <col collapsed="false" customWidth="true" hidden="false" outlineLevel="0" max="6" min="6" style="1" width="13"/>
    <col collapsed="false" customWidth="true" hidden="false" outlineLevel="0" max="8" min="7" style="1" width="12"/>
    <col collapsed="false" customWidth="true" hidden="false" outlineLevel="0" max="10" min="9" style="1" width="13"/>
    <col collapsed="false" customWidth="true" hidden="false" outlineLevel="0" max="16" min="11" style="1" width="11"/>
    <col collapsed="false" customWidth="true" hidden="false" outlineLevel="0" max="17" min="17" style="1" width="15"/>
    <col collapsed="false" customWidth="true" hidden="false" outlineLevel="0" max="18" min="18" style="1" width="13"/>
    <col collapsed="false" customWidth="true" hidden="false" outlineLevel="0" max="19" min="19" style="1" width="16"/>
    <col collapsed="false" customWidth="true" hidden="false" outlineLevel="0" max="21" min="20" style="1" width="13"/>
    <col collapsed="false" customWidth="true" hidden="false" outlineLevel="0" max="22" min="22" style="1" width="12"/>
    <col collapsed="false" customWidth="true" hidden="false" outlineLevel="0" max="23" min="23" style="1" width="14"/>
    <col collapsed="false" customWidth="true" hidden="false" outlineLevel="0" max="24" min="24" style="1" width="30"/>
  </cols>
  <sheetData>
    <row r="1" customFormat="false" ht="15" hidden="false" customHeight="true" outlineLevel="0" collapsed="false">
      <c r="A1" s="2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2"/>
      <c r="Z1" s="4"/>
      <c r="AA1" s="4"/>
      <c r="AB1" s="4"/>
      <c r="AC1" s="4"/>
    </row>
    <row r="2" customFormat="false" ht="30" hidden="false" customHeight="true" outlineLevel="0" collapsed="false">
      <c r="A2" s="2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2"/>
      <c r="Z2" s="4"/>
      <c r="AA2" s="4"/>
      <c r="AB2" s="4"/>
      <c r="AC2" s="4"/>
    </row>
    <row r="3" customFormat="false" ht="15" hidden="false" customHeight="true" outlineLevel="0" collapsed="false">
      <c r="A3" s="2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2"/>
      <c r="Z3" s="4"/>
      <c r="AA3" s="4"/>
      <c r="AB3" s="4"/>
      <c r="AC3" s="4"/>
    </row>
    <row r="4" customFormat="false" ht="15" hidden="false" customHeight="true" outlineLevel="0" collapsed="false">
      <c r="A4" s="2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2"/>
      <c r="Z4" s="4"/>
      <c r="AA4" s="4"/>
      <c r="AB4" s="4"/>
      <c r="AC4" s="4"/>
    </row>
    <row r="5" customFormat="false" ht="18" hidden="false" customHeight="true" outlineLevel="0" collapsed="false">
      <c r="A5" s="4"/>
      <c r="B5" s="5" t="s">
        <v>0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4"/>
      <c r="Z5" s="4"/>
      <c r="AA5" s="4"/>
      <c r="AB5" s="4"/>
      <c r="AC5" s="4"/>
    </row>
    <row r="6" customFormat="false" ht="13.5" hidden="false" customHeight="true" outlineLevel="0" collapsed="false">
      <c r="A6" s="4"/>
      <c r="B6" s="6" t="s">
        <v>1</v>
      </c>
      <c r="C6" s="6"/>
      <c r="D6" s="6"/>
      <c r="E6" s="7" t="s">
        <v>2</v>
      </c>
      <c r="F6" s="7"/>
      <c r="G6" s="8" t="s">
        <v>3</v>
      </c>
      <c r="H6" s="8"/>
      <c r="I6" s="8"/>
      <c r="J6" s="8"/>
      <c r="K6" s="8"/>
      <c r="L6" s="8"/>
      <c r="M6" s="8"/>
      <c r="N6" s="8"/>
      <c r="O6" s="8"/>
      <c r="P6" s="8"/>
      <c r="Q6" s="9" t="s">
        <v>4</v>
      </c>
      <c r="R6" s="9"/>
      <c r="S6" s="9"/>
      <c r="T6" s="10" t="s">
        <v>5</v>
      </c>
      <c r="U6" s="10"/>
      <c r="V6" s="10"/>
      <c r="W6" s="10"/>
      <c r="X6" s="11" t="s">
        <v>6</v>
      </c>
      <c r="Y6" s="4"/>
      <c r="Z6" s="4"/>
      <c r="AA6" s="4"/>
      <c r="AB6" s="4"/>
      <c r="AC6" s="4"/>
    </row>
    <row r="7" customFormat="false" ht="39.75" hidden="false" customHeight="true" outlineLevel="0" collapsed="false">
      <c r="A7" s="4"/>
      <c r="B7" s="12" t="s">
        <v>7</v>
      </c>
      <c r="C7" s="12" t="s">
        <v>8</v>
      </c>
      <c r="D7" s="12" t="s">
        <v>9</v>
      </c>
      <c r="E7" s="12" t="s">
        <v>10</v>
      </c>
      <c r="F7" s="12" t="s">
        <v>11</v>
      </c>
      <c r="G7" s="12" t="s">
        <v>12</v>
      </c>
      <c r="H7" s="12" t="s">
        <v>13</v>
      </c>
      <c r="I7" s="12" t="s">
        <v>14</v>
      </c>
      <c r="J7" s="12" t="s">
        <v>15</v>
      </c>
      <c r="K7" s="12" t="s">
        <v>16</v>
      </c>
      <c r="L7" s="12" t="s">
        <v>17</v>
      </c>
      <c r="M7" s="12" t="s">
        <v>18</v>
      </c>
      <c r="N7" s="12" t="s">
        <v>19</v>
      </c>
      <c r="O7" s="12" t="s">
        <v>20</v>
      </c>
      <c r="P7" s="12" t="s">
        <v>21</v>
      </c>
      <c r="Q7" s="12" t="s">
        <v>22</v>
      </c>
      <c r="R7" s="12" t="s">
        <v>23</v>
      </c>
      <c r="S7" s="12" t="s">
        <v>24</v>
      </c>
      <c r="T7" s="12" t="s">
        <v>25</v>
      </c>
      <c r="U7" s="12" t="s">
        <v>26</v>
      </c>
      <c r="V7" s="12" t="s">
        <v>27</v>
      </c>
      <c r="W7" s="12" t="s">
        <v>28</v>
      </c>
      <c r="X7" s="12" t="s">
        <v>29</v>
      </c>
      <c r="Y7" s="4"/>
      <c r="Z7" s="4"/>
      <c r="AA7" s="4"/>
      <c r="AB7" s="4"/>
      <c r="AC7" s="4"/>
    </row>
    <row r="8" customFormat="false" ht="12.75" hidden="false" customHeight="true" outlineLevel="0" collapsed="false">
      <c r="A8" s="4"/>
      <c r="B8" s="13" t="s">
        <v>30</v>
      </c>
      <c r="C8" s="13" t="s">
        <v>30</v>
      </c>
      <c r="D8" s="14" t="s">
        <v>30</v>
      </c>
      <c r="E8" s="14" t="s">
        <v>30</v>
      </c>
      <c r="F8" s="14" t="s">
        <v>31</v>
      </c>
      <c r="G8" s="14" t="s">
        <v>30</v>
      </c>
      <c r="H8" s="14" t="s">
        <v>30</v>
      </c>
      <c r="I8" s="14" t="s">
        <v>30</v>
      </c>
      <c r="J8" s="14" t="s">
        <v>30</v>
      </c>
      <c r="K8" s="14" t="s">
        <v>30</v>
      </c>
      <c r="L8" s="14" t="s">
        <v>30</v>
      </c>
      <c r="M8" s="14" t="s">
        <v>30</v>
      </c>
      <c r="N8" s="13" t="s">
        <v>30</v>
      </c>
      <c r="O8" s="13" t="s">
        <v>30</v>
      </c>
      <c r="P8" s="13" t="s">
        <v>30</v>
      </c>
      <c r="Q8" s="13" t="s">
        <v>30</v>
      </c>
      <c r="R8" s="13" t="s">
        <v>31</v>
      </c>
      <c r="S8" s="13" t="s">
        <v>31</v>
      </c>
      <c r="T8" s="13" t="s">
        <v>30</v>
      </c>
      <c r="U8" s="13" t="s">
        <v>30</v>
      </c>
      <c r="V8" s="13" t="s">
        <v>30</v>
      </c>
      <c r="W8" s="13" t="s">
        <v>31</v>
      </c>
      <c r="X8" s="15" t="s">
        <v>32</v>
      </c>
      <c r="Y8" s="4"/>
      <c r="Z8" s="4"/>
      <c r="AA8" s="4"/>
      <c r="AB8" s="4"/>
      <c r="AC8" s="4"/>
    </row>
    <row r="9" customFormat="false" ht="18" hidden="false" customHeight="true" outlineLevel="0" collapsed="false">
      <c r="A9" s="4"/>
      <c r="B9" s="16"/>
      <c r="C9" s="16"/>
      <c r="D9" s="17"/>
      <c r="E9" s="18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6"/>
      <c r="S9" s="16"/>
      <c r="T9" s="17"/>
      <c r="U9" s="17"/>
      <c r="V9" s="17"/>
      <c r="W9" s="16"/>
      <c r="X9" s="19"/>
      <c r="Y9" s="4"/>
      <c r="Z9" s="4"/>
      <c r="AA9" s="4"/>
      <c r="AB9" s="4"/>
      <c r="AC9" s="4"/>
    </row>
    <row r="10" customFormat="false" ht="18" hidden="false" customHeight="true" outlineLevel="0" collapsed="false">
      <c r="A10" s="4"/>
      <c r="B10" s="16"/>
      <c r="C10" s="16"/>
      <c r="D10" s="17"/>
      <c r="E10" s="18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6"/>
      <c r="S10" s="16"/>
      <c r="T10" s="17"/>
      <c r="U10" s="17"/>
      <c r="V10" s="17"/>
      <c r="W10" s="16"/>
      <c r="X10" s="19"/>
      <c r="Y10" s="4"/>
      <c r="Z10" s="4"/>
      <c r="AA10" s="4"/>
      <c r="AB10" s="4"/>
      <c r="AC10" s="4"/>
    </row>
    <row r="11" customFormat="false" ht="18" hidden="false" customHeight="true" outlineLevel="0" collapsed="false">
      <c r="A11" s="4"/>
      <c r="B11" s="16"/>
      <c r="C11" s="16"/>
      <c r="D11" s="17"/>
      <c r="E11" s="18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6"/>
      <c r="S11" s="16"/>
      <c r="T11" s="17"/>
      <c r="U11" s="17"/>
      <c r="V11" s="17"/>
      <c r="W11" s="16"/>
      <c r="X11" s="19"/>
      <c r="Y11" s="4"/>
      <c r="Z11" s="4"/>
      <c r="AA11" s="4"/>
      <c r="AB11" s="4"/>
      <c r="AC11" s="4"/>
    </row>
    <row r="12" customFormat="false" ht="18" hidden="false" customHeight="true" outlineLevel="0" collapsed="false">
      <c r="A12" s="4"/>
      <c r="B12" s="16"/>
      <c r="C12" s="16"/>
      <c r="D12" s="17"/>
      <c r="E12" s="18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6"/>
      <c r="S12" s="16"/>
      <c r="T12" s="17"/>
      <c r="U12" s="17"/>
      <c r="V12" s="17"/>
      <c r="W12" s="16"/>
      <c r="X12" s="19"/>
      <c r="Y12" s="4"/>
      <c r="Z12" s="4"/>
      <c r="AA12" s="4"/>
      <c r="AB12" s="4"/>
      <c r="AC12" s="4"/>
    </row>
    <row r="13" customFormat="false" ht="18" hidden="false" customHeight="true" outlineLevel="0" collapsed="false">
      <c r="A13" s="4"/>
      <c r="B13" s="16"/>
      <c r="C13" s="16"/>
      <c r="D13" s="17"/>
      <c r="E13" s="18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6"/>
      <c r="S13" s="16"/>
      <c r="T13" s="17"/>
      <c r="U13" s="17"/>
      <c r="V13" s="17"/>
      <c r="W13" s="16"/>
      <c r="X13" s="19"/>
      <c r="Y13" s="4"/>
      <c r="Z13" s="4"/>
      <c r="AA13" s="4"/>
      <c r="AB13" s="4"/>
      <c r="AC13" s="4"/>
    </row>
    <row r="14" customFormat="false" ht="18" hidden="false" customHeight="true" outlineLevel="0" collapsed="false">
      <c r="A14" s="4"/>
      <c r="B14" s="16"/>
      <c r="C14" s="16"/>
      <c r="D14" s="17"/>
      <c r="E14" s="18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6"/>
      <c r="S14" s="16"/>
      <c r="T14" s="17"/>
      <c r="U14" s="17"/>
      <c r="V14" s="17"/>
      <c r="W14" s="16"/>
      <c r="X14" s="19"/>
      <c r="Y14" s="4"/>
      <c r="Z14" s="4"/>
      <c r="AA14" s="4"/>
      <c r="AB14" s="4"/>
      <c r="AC14" s="4"/>
    </row>
    <row r="15" customFormat="false" ht="18" hidden="false" customHeight="true" outlineLevel="0" collapsed="false">
      <c r="A15" s="4"/>
      <c r="B15" s="16"/>
      <c r="C15" s="16"/>
      <c r="D15" s="17"/>
      <c r="E15" s="18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6"/>
      <c r="S15" s="16"/>
      <c r="T15" s="17"/>
      <c r="U15" s="17"/>
      <c r="V15" s="17"/>
      <c r="W15" s="16"/>
      <c r="X15" s="19"/>
      <c r="Y15" s="4"/>
      <c r="Z15" s="4"/>
      <c r="AA15" s="4"/>
      <c r="AB15" s="4"/>
      <c r="AC15" s="4"/>
    </row>
    <row r="16" customFormat="false" ht="18" hidden="false" customHeight="true" outlineLevel="0" collapsed="false">
      <c r="A16" s="4"/>
      <c r="B16" s="16"/>
      <c r="C16" s="16"/>
      <c r="D16" s="17"/>
      <c r="E16" s="18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6"/>
      <c r="S16" s="16"/>
      <c r="T16" s="17"/>
      <c r="U16" s="17"/>
      <c r="V16" s="17"/>
      <c r="W16" s="16"/>
      <c r="X16" s="19"/>
      <c r="Y16" s="4"/>
      <c r="Z16" s="4"/>
      <c r="AA16" s="4"/>
      <c r="AB16" s="4"/>
      <c r="AC16" s="4"/>
    </row>
    <row r="17" customFormat="false" ht="18" hidden="false" customHeight="true" outlineLevel="0" collapsed="false">
      <c r="A17" s="4"/>
      <c r="B17" s="16"/>
      <c r="C17" s="16"/>
      <c r="D17" s="17"/>
      <c r="E17" s="18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6"/>
      <c r="S17" s="16"/>
      <c r="T17" s="17"/>
      <c r="U17" s="17"/>
      <c r="V17" s="17"/>
      <c r="W17" s="16"/>
      <c r="X17" s="19"/>
      <c r="Y17" s="4"/>
      <c r="Z17" s="4"/>
      <c r="AA17" s="4"/>
      <c r="AB17" s="4"/>
      <c r="AC17" s="4"/>
    </row>
    <row r="18" customFormat="false" ht="18" hidden="false" customHeight="true" outlineLevel="0" collapsed="false">
      <c r="A18" s="4"/>
      <c r="B18" s="16"/>
      <c r="C18" s="16"/>
      <c r="D18" s="17"/>
      <c r="E18" s="18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6"/>
      <c r="S18" s="16"/>
      <c r="T18" s="17"/>
      <c r="U18" s="17"/>
      <c r="V18" s="17"/>
      <c r="W18" s="16"/>
      <c r="X18" s="19"/>
      <c r="Y18" s="4"/>
      <c r="Z18" s="4"/>
      <c r="AA18" s="4"/>
      <c r="AB18" s="4"/>
      <c r="AC18" s="4"/>
    </row>
    <row r="19" customFormat="false" ht="18" hidden="false" customHeight="true" outlineLevel="0" collapsed="false">
      <c r="A19" s="4"/>
      <c r="B19" s="16"/>
      <c r="C19" s="16"/>
      <c r="D19" s="17"/>
      <c r="E19" s="18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6"/>
      <c r="S19" s="16"/>
      <c r="T19" s="17"/>
      <c r="U19" s="17"/>
      <c r="V19" s="17"/>
      <c r="W19" s="16"/>
      <c r="X19" s="19"/>
      <c r="Y19" s="4"/>
      <c r="Z19" s="4"/>
      <c r="AA19" s="4"/>
      <c r="AB19" s="4"/>
      <c r="AC19" s="4"/>
    </row>
    <row r="20" customFormat="false" ht="18" hidden="false" customHeight="true" outlineLevel="0" collapsed="false">
      <c r="A20" s="4"/>
      <c r="B20" s="16"/>
      <c r="C20" s="16"/>
      <c r="D20" s="17"/>
      <c r="E20" s="18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6"/>
      <c r="S20" s="16"/>
      <c r="T20" s="17"/>
      <c r="U20" s="17"/>
      <c r="V20" s="17"/>
      <c r="W20" s="16"/>
      <c r="X20" s="19"/>
      <c r="Y20" s="4"/>
      <c r="Z20" s="4"/>
      <c r="AA20" s="4"/>
      <c r="AB20" s="4"/>
      <c r="AC20" s="4"/>
    </row>
    <row r="21" customFormat="false" ht="18" hidden="false" customHeight="true" outlineLevel="0" collapsed="false">
      <c r="A21" s="4"/>
      <c r="B21" s="16"/>
      <c r="C21" s="16"/>
      <c r="D21" s="17"/>
      <c r="E21" s="18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6"/>
      <c r="S21" s="16"/>
      <c r="T21" s="17"/>
      <c r="U21" s="17"/>
      <c r="V21" s="17"/>
      <c r="W21" s="16"/>
      <c r="X21" s="19"/>
      <c r="Y21" s="4"/>
      <c r="Z21" s="4"/>
      <c r="AA21" s="4"/>
      <c r="AB21" s="4"/>
      <c r="AC21" s="4"/>
    </row>
    <row r="22" customFormat="false" ht="18" hidden="false" customHeight="true" outlineLevel="0" collapsed="false">
      <c r="A22" s="4"/>
      <c r="B22" s="16"/>
      <c r="C22" s="16"/>
      <c r="D22" s="17"/>
      <c r="E22" s="18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6"/>
      <c r="S22" s="16"/>
      <c r="T22" s="17"/>
      <c r="U22" s="17"/>
      <c r="V22" s="17"/>
      <c r="W22" s="16"/>
      <c r="X22" s="19"/>
      <c r="Y22" s="4"/>
      <c r="Z22" s="4"/>
      <c r="AA22" s="4"/>
      <c r="AB22" s="4"/>
      <c r="AC22" s="4"/>
    </row>
    <row r="23" customFormat="false" ht="18" hidden="false" customHeight="true" outlineLevel="0" collapsed="false">
      <c r="A23" s="4"/>
      <c r="B23" s="16"/>
      <c r="C23" s="16"/>
      <c r="D23" s="17"/>
      <c r="E23" s="18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6"/>
      <c r="S23" s="16"/>
      <c r="T23" s="17"/>
      <c r="U23" s="17"/>
      <c r="V23" s="17"/>
      <c r="W23" s="16"/>
      <c r="X23" s="19"/>
      <c r="Y23" s="4"/>
      <c r="Z23" s="4"/>
      <c r="AA23" s="4"/>
      <c r="AB23" s="4"/>
      <c r="AC23" s="4"/>
    </row>
    <row r="24" customFormat="false" ht="18" hidden="false" customHeight="true" outlineLevel="0" collapsed="false">
      <c r="A24" s="4"/>
      <c r="B24" s="16"/>
      <c r="C24" s="16"/>
      <c r="D24" s="17"/>
      <c r="E24" s="18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6"/>
      <c r="S24" s="16"/>
      <c r="T24" s="17"/>
      <c r="U24" s="17"/>
      <c r="V24" s="17"/>
      <c r="W24" s="16"/>
      <c r="X24" s="19"/>
      <c r="Y24" s="4"/>
      <c r="Z24" s="4"/>
      <c r="AA24" s="4"/>
      <c r="AB24" s="4"/>
      <c r="AC24" s="4"/>
    </row>
    <row r="25" customFormat="false" ht="18" hidden="false" customHeight="true" outlineLevel="0" collapsed="false">
      <c r="A25" s="4"/>
      <c r="B25" s="16"/>
      <c r="C25" s="16"/>
      <c r="D25" s="17"/>
      <c r="E25" s="18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6"/>
      <c r="S25" s="16"/>
      <c r="T25" s="17"/>
      <c r="U25" s="17"/>
      <c r="V25" s="17"/>
      <c r="W25" s="16"/>
      <c r="X25" s="19"/>
      <c r="Y25" s="4"/>
      <c r="Z25" s="4"/>
      <c r="AA25" s="4"/>
      <c r="AB25" s="4"/>
      <c r="AC25" s="4"/>
    </row>
    <row r="26" customFormat="false" ht="18" hidden="false" customHeight="true" outlineLevel="0" collapsed="false">
      <c r="A26" s="4"/>
      <c r="B26" s="16"/>
      <c r="C26" s="16"/>
      <c r="D26" s="17"/>
      <c r="E26" s="18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6"/>
      <c r="S26" s="16"/>
      <c r="T26" s="17"/>
      <c r="U26" s="17"/>
      <c r="V26" s="17"/>
      <c r="W26" s="16"/>
      <c r="X26" s="19"/>
      <c r="Y26" s="4"/>
      <c r="Z26" s="4"/>
      <c r="AA26" s="4"/>
      <c r="AB26" s="4"/>
      <c r="AC26" s="4"/>
    </row>
    <row r="27" customFormat="false" ht="18" hidden="false" customHeight="true" outlineLevel="0" collapsed="false">
      <c r="A27" s="4"/>
      <c r="B27" s="16"/>
      <c r="C27" s="16"/>
      <c r="D27" s="17"/>
      <c r="E27" s="18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6"/>
      <c r="S27" s="16"/>
      <c r="T27" s="17"/>
      <c r="U27" s="17"/>
      <c r="V27" s="17"/>
      <c r="W27" s="16"/>
      <c r="X27" s="19"/>
      <c r="Y27" s="4"/>
      <c r="Z27" s="4"/>
      <c r="AA27" s="4"/>
      <c r="AB27" s="4"/>
      <c r="AC27" s="4"/>
    </row>
    <row r="28" customFormat="false" ht="18" hidden="false" customHeight="true" outlineLevel="0" collapsed="false">
      <c r="A28" s="4"/>
      <c r="B28" s="16"/>
      <c r="C28" s="16"/>
      <c r="D28" s="17"/>
      <c r="E28" s="18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6"/>
      <c r="S28" s="16"/>
      <c r="T28" s="17"/>
      <c r="U28" s="17"/>
      <c r="V28" s="17"/>
      <c r="W28" s="16"/>
      <c r="X28" s="19"/>
      <c r="Y28" s="4"/>
      <c r="Z28" s="4"/>
      <c r="AA28" s="4"/>
      <c r="AB28" s="4"/>
      <c r="AC28" s="4"/>
    </row>
    <row r="29" customFormat="false" ht="18" hidden="false" customHeight="true" outlineLevel="0" collapsed="false">
      <c r="A29" s="4"/>
      <c r="B29" s="16"/>
      <c r="C29" s="16"/>
      <c r="D29" s="17"/>
      <c r="E29" s="18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6"/>
      <c r="S29" s="16"/>
      <c r="T29" s="17"/>
      <c r="U29" s="17"/>
      <c r="V29" s="17"/>
      <c r="W29" s="16"/>
      <c r="X29" s="19"/>
      <c r="Y29" s="4"/>
      <c r="Z29" s="4"/>
      <c r="AA29" s="4"/>
      <c r="AB29" s="4"/>
      <c r="AC29" s="4"/>
    </row>
    <row r="30" customFormat="false" ht="18" hidden="false" customHeight="true" outlineLevel="0" collapsed="false">
      <c r="A30" s="4"/>
      <c r="B30" s="16"/>
      <c r="C30" s="16"/>
      <c r="D30" s="17"/>
      <c r="E30" s="18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6"/>
      <c r="S30" s="16"/>
      <c r="T30" s="17"/>
      <c r="U30" s="17"/>
      <c r="V30" s="17"/>
      <c r="W30" s="16"/>
      <c r="X30" s="19"/>
      <c r="Y30" s="4"/>
      <c r="Z30" s="4"/>
      <c r="AA30" s="4"/>
      <c r="AB30" s="4"/>
      <c r="AC30" s="4"/>
    </row>
    <row r="31" customFormat="false" ht="18" hidden="false" customHeight="true" outlineLevel="0" collapsed="false">
      <c r="A31" s="4"/>
      <c r="B31" s="16"/>
      <c r="C31" s="16"/>
      <c r="D31" s="17"/>
      <c r="E31" s="18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6"/>
      <c r="S31" s="16"/>
      <c r="T31" s="17"/>
      <c r="U31" s="17"/>
      <c r="V31" s="17"/>
      <c r="W31" s="16"/>
      <c r="X31" s="19"/>
      <c r="Y31" s="4"/>
      <c r="Z31" s="4"/>
      <c r="AA31" s="4"/>
      <c r="AB31" s="4"/>
      <c r="AC31" s="4"/>
    </row>
    <row r="32" customFormat="false" ht="18" hidden="false" customHeight="true" outlineLevel="0" collapsed="false">
      <c r="A32" s="4"/>
      <c r="B32" s="16"/>
      <c r="C32" s="16"/>
      <c r="D32" s="17"/>
      <c r="E32" s="18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6"/>
      <c r="S32" s="16"/>
      <c r="T32" s="17"/>
      <c r="U32" s="17"/>
      <c r="V32" s="17"/>
      <c r="W32" s="16"/>
      <c r="X32" s="19"/>
      <c r="Y32" s="4"/>
      <c r="Z32" s="4"/>
      <c r="AA32" s="4"/>
      <c r="AB32" s="4"/>
      <c r="AC32" s="4"/>
    </row>
    <row r="33" customFormat="false" ht="18" hidden="false" customHeight="true" outlineLevel="0" collapsed="false">
      <c r="A33" s="4"/>
      <c r="B33" s="16"/>
      <c r="C33" s="16"/>
      <c r="D33" s="17"/>
      <c r="E33" s="18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6"/>
      <c r="S33" s="16"/>
      <c r="T33" s="17"/>
      <c r="U33" s="17"/>
      <c r="V33" s="17"/>
      <c r="W33" s="16"/>
      <c r="X33" s="19"/>
      <c r="Y33" s="4"/>
      <c r="Z33" s="4"/>
      <c r="AA33" s="4"/>
      <c r="AB33" s="4"/>
      <c r="AC33" s="4"/>
    </row>
    <row r="34" customFormat="false" ht="18" hidden="false" customHeight="true" outlineLevel="0" collapsed="false">
      <c r="A34" s="4"/>
      <c r="B34" s="16"/>
      <c r="C34" s="16"/>
      <c r="D34" s="17"/>
      <c r="E34" s="18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6"/>
      <c r="S34" s="16"/>
      <c r="T34" s="17"/>
      <c r="U34" s="17"/>
      <c r="V34" s="17"/>
      <c r="W34" s="16"/>
      <c r="X34" s="19"/>
      <c r="Y34" s="4"/>
      <c r="Z34" s="4"/>
      <c r="AA34" s="4"/>
      <c r="AB34" s="4"/>
      <c r="AC34" s="4"/>
    </row>
    <row r="35" customFormat="false" ht="18" hidden="false" customHeight="true" outlineLevel="0" collapsed="false">
      <c r="A35" s="4"/>
      <c r="B35" s="16"/>
      <c r="C35" s="16"/>
      <c r="D35" s="17"/>
      <c r="E35" s="18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6"/>
      <c r="S35" s="16"/>
      <c r="T35" s="17"/>
      <c r="U35" s="17"/>
      <c r="V35" s="17"/>
      <c r="W35" s="16"/>
      <c r="X35" s="19"/>
      <c r="Y35" s="4"/>
      <c r="Z35" s="4"/>
      <c r="AA35" s="4"/>
      <c r="AB35" s="4"/>
      <c r="AC35" s="4"/>
    </row>
    <row r="36" customFormat="false" ht="18" hidden="false" customHeight="true" outlineLevel="0" collapsed="false">
      <c r="A36" s="4"/>
      <c r="B36" s="16"/>
      <c r="C36" s="16"/>
      <c r="D36" s="17"/>
      <c r="E36" s="18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6"/>
      <c r="S36" s="16"/>
      <c r="T36" s="17"/>
      <c r="U36" s="17"/>
      <c r="V36" s="17"/>
      <c r="W36" s="16"/>
      <c r="X36" s="19"/>
      <c r="Y36" s="4"/>
      <c r="Z36" s="4"/>
      <c r="AA36" s="4"/>
      <c r="AB36" s="4"/>
      <c r="AC36" s="4"/>
    </row>
    <row r="37" customFormat="false" ht="18" hidden="false" customHeight="true" outlineLevel="0" collapsed="false">
      <c r="A37" s="4"/>
      <c r="B37" s="16"/>
      <c r="C37" s="17"/>
      <c r="D37" s="17"/>
      <c r="E37" s="18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6"/>
      <c r="X37" s="19"/>
      <c r="Y37" s="4"/>
      <c r="Z37" s="4"/>
      <c r="AA37" s="4"/>
      <c r="AB37" s="4"/>
      <c r="AC37" s="4"/>
    </row>
    <row r="38" customFormat="false" ht="19.5" hidden="false" customHeight="true" outlineLevel="0" collapsed="false">
      <c r="A38" s="4"/>
      <c r="B38" s="20" t="s">
        <v>33</v>
      </c>
      <c r="C38" s="20"/>
      <c r="D38" s="20"/>
      <c r="E38" s="20"/>
      <c r="F38" s="20"/>
      <c r="G38" s="21" t="n">
        <f aca="false">SUM(G9:G37)</f>
        <v>0</v>
      </c>
      <c r="H38" s="21" t="n">
        <f aca="false">SUM(H9:H37)</f>
        <v>0</v>
      </c>
      <c r="I38" s="21" t="n">
        <f aca="false">SUM(I9:I37)</f>
        <v>0</v>
      </c>
      <c r="J38" s="21" t="n">
        <f aca="false">SUM(J9:J37)</f>
        <v>0</v>
      </c>
      <c r="K38" s="21" t="n">
        <f aca="false">SUM(K9:K37)</f>
        <v>0</v>
      </c>
      <c r="L38" s="21" t="n">
        <f aca="false">SUM(L9:L37)</f>
        <v>0</v>
      </c>
      <c r="M38" s="21" t="n">
        <f aca="false">SUM(M9:M37)</f>
        <v>0</v>
      </c>
      <c r="N38" s="21" t="n">
        <f aca="false">SUM(N9:N37)</f>
        <v>0</v>
      </c>
      <c r="O38" s="21" t="n">
        <f aca="false">SUM(O9:O37)</f>
        <v>0</v>
      </c>
      <c r="P38" s="21" t="n">
        <f aca="false">SUM(P9:P37)</f>
        <v>0</v>
      </c>
      <c r="Q38" s="21" t="n">
        <f aca="false">SUM(Q9:Q37)</f>
        <v>0</v>
      </c>
      <c r="R38" s="20"/>
      <c r="S38" s="20"/>
      <c r="T38" s="21" t="n">
        <f aca="false">SUM(T9:T37)</f>
        <v>0</v>
      </c>
      <c r="U38" s="21" t="n">
        <f aca="false">SUM(U9:U37)</f>
        <v>0</v>
      </c>
      <c r="V38" s="21" t="n">
        <f aca="false">SUM(V9:V37)</f>
        <v>0</v>
      </c>
      <c r="W38" s="20"/>
      <c r="X38" s="20"/>
      <c r="Y38" s="4"/>
      <c r="Z38" s="4"/>
      <c r="AA38" s="4"/>
      <c r="AB38" s="4"/>
      <c r="AC38" s="4"/>
    </row>
    <row r="39" customFormat="false" ht="15" hidden="false" customHeight="true" outlineLevel="0" collapsed="false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</row>
  </sheetData>
  <mergeCells count="7">
    <mergeCell ref="B1:X4"/>
    <mergeCell ref="B5:X5"/>
    <mergeCell ref="B6:D6"/>
    <mergeCell ref="E6:F6"/>
    <mergeCell ref="G6:P6"/>
    <mergeCell ref="Q6:S6"/>
    <mergeCell ref="T6:W6"/>
  </mergeCells>
  <dataValidations count="4">
    <dataValidation allowBlank="true" errorStyle="stop" operator="between" showDropDown="false" showErrorMessage="false" showInputMessage="false" sqref="F9:F37" type="list">
      <formula1>"Wave 1,Wave 2,Wave 3,Wave 4,Wave 5,Wave 6"</formula1>
      <formula2>0</formula2>
    </dataValidation>
    <dataValidation allowBlank="true" errorStyle="stop" operator="between" showDropDown="false" showErrorMessage="false" showInputMessage="false" sqref="R9:R37" type="list">
      <formula1>"Low,Medium,High,N/A"</formula1>
      <formula2>0</formula2>
    </dataValidation>
    <dataValidation allowBlank="true" errorStyle="stop" operator="between" showDropDown="false" showErrorMessage="false" showInputMessage="false" sqref="W9:W37" type="list">
      <formula1>"Transactional,Merge,Snapshot,None,Mixed"</formula1>
      <formula2>0</formula2>
    </dataValidation>
    <dataValidation allowBlank="true" errorStyle="stop" operator="between" showDropDown="false" showErrorMessage="false" showInputMessage="false" sqref="S9:S37" type="list">
      <formula1>"EC2 (Lift &amp; Shift),AWS QuickSight,Power BI,Decommission,TBD,Custom Reporting Solution"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AR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4"/>
    <col collapsed="false" customWidth="true" hidden="false" outlineLevel="0" max="3" min="3" style="1" width="13"/>
    <col collapsed="false" customWidth="true" hidden="false" outlineLevel="0" max="4" min="4" style="1" width="11"/>
    <col collapsed="false" customWidth="true" hidden="false" outlineLevel="0" max="13" min="5" style="1" width="10"/>
    <col collapsed="false" customWidth="true" hidden="false" outlineLevel="0" max="15" min="14" style="1" width="12"/>
    <col collapsed="false" customWidth="true" hidden="false" outlineLevel="0" max="16" min="16" style="1" width="16"/>
    <col collapsed="false" customWidth="true" hidden="false" outlineLevel="0" max="17" min="17" style="1" width="12"/>
    <col collapsed="false" customWidth="true" hidden="false" outlineLevel="0" max="20" min="18" style="1" width="13"/>
    <col collapsed="false" customWidth="true" hidden="true" outlineLevel="0" max="28" min="21" style="1" width="11.53"/>
    <col collapsed="false" customWidth="true" hidden="false" outlineLevel="0" max="38" min="29" style="1" width="13"/>
    <col collapsed="false" customWidth="true" hidden="false" outlineLevel="0" max="41" min="39" style="1" width="14"/>
    <col collapsed="false" customWidth="true" hidden="false" outlineLevel="0" max="44" min="42" style="1" width="10"/>
    <col collapsed="false" customWidth="true" hidden="false" outlineLevel="0" max="49" min="45" style="1" width="13"/>
  </cols>
  <sheetData>
    <row r="1" customFormat="false" ht="15" hidden="false" customHeight="true" outlineLevel="0" collapsed="false">
      <c r="A1" s="22"/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</row>
    <row r="2" customFormat="false" ht="25.5" hidden="false" customHeight="true" outlineLevel="0" collapsed="false">
      <c r="A2" s="22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</row>
    <row r="3" customFormat="false" ht="15" hidden="false" customHeight="true" outlineLevel="0" collapsed="false">
      <c r="A3" s="22"/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</row>
    <row r="4" customFormat="false" ht="15.75" hidden="false" customHeight="true" outlineLevel="0" collapsed="false">
      <c r="B4" s="5" t="s">
        <v>34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customFormat="false" ht="15" hidden="false" customHeight="true" outlineLevel="0" collapsed="false">
      <c r="B5" s="7" t="s">
        <v>35</v>
      </c>
      <c r="C5" s="7"/>
      <c r="D5" s="8" t="s">
        <v>36</v>
      </c>
      <c r="E5" s="8"/>
      <c r="F5" s="8"/>
      <c r="G5" s="8"/>
      <c r="H5" s="8"/>
      <c r="I5" s="9" t="s">
        <v>37</v>
      </c>
      <c r="J5" s="9"/>
      <c r="K5" s="9"/>
      <c r="L5" s="9"/>
      <c r="M5" s="9"/>
      <c r="N5" s="9"/>
      <c r="O5" s="6" t="s">
        <v>4</v>
      </c>
      <c r="P5" s="6"/>
      <c r="Q5" s="6"/>
      <c r="R5" s="10" t="s">
        <v>38</v>
      </c>
      <c r="S5" s="10"/>
      <c r="T5" s="10"/>
      <c r="U5" s="24"/>
      <c r="V5" s="25"/>
      <c r="W5" s="25"/>
      <c r="X5" s="25"/>
      <c r="Y5" s="25"/>
      <c r="Z5" s="25"/>
      <c r="AA5" s="25"/>
      <c r="AB5" s="10" t="s">
        <v>39</v>
      </c>
      <c r="AC5" s="10"/>
      <c r="AD5" s="10"/>
      <c r="AE5" s="10"/>
      <c r="AF5" s="10"/>
      <c r="AG5" s="7" t="s">
        <v>40</v>
      </c>
      <c r="AH5" s="7"/>
      <c r="AI5" s="7"/>
      <c r="AJ5" s="7"/>
      <c r="AK5" s="7"/>
      <c r="AL5" s="7"/>
      <c r="AM5" s="8" t="s">
        <v>41</v>
      </c>
      <c r="AN5" s="8"/>
      <c r="AO5" s="8"/>
      <c r="AP5" s="6" t="s">
        <v>42</v>
      </c>
      <c r="AQ5" s="6"/>
      <c r="AR5" s="6"/>
    </row>
    <row r="6" customFormat="false" ht="36" hidden="false" customHeight="true" outlineLevel="0" collapsed="false">
      <c r="B6" s="20" t="s">
        <v>10</v>
      </c>
      <c r="C6" s="20" t="s">
        <v>43</v>
      </c>
      <c r="D6" s="20" t="s">
        <v>12</v>
      </c>
      <c r="E6" s="20" t="s">
        <v>44</v>
      </c>
      <c r="F6" s="20" t="s">
        <v>45</v>
      </c>
      <c r="G6" s="20" t="s">
        <v>46</v>
      </c>
      <c r="H6" s="20" t="s">
        <v>47</v>
      </c>
      <c r="I6" s="20" t="s">
        <v>17</v>
      </c>
      <c r="J6" s="20" t="s">
        <v>18</v>
      </c>
      <c r="K6" s="20" t="s">
        <v>19</v>
      </c>
      <c r="L6" s="20" t="s">
        <v>20</v>
      </c>
      <c r="M6" s="20" t="s">
        <v>21</v>
      </c>
      <c r="N6" s="12" t="s">
        <v>48</v>
      </c>
      <c r="O6" s="20" t="s">
        <v>23</v>
      </c>
      <c r="P6" s="20" t="s">
        <v>49</v>
      </c>
      <c r="Q6" s="20" t="s">
        <v>50</v>
      </c>
      <c r="R6" s="20" t="s">
        <v>51</v>
      </c>
      <c r="S6" s="20" t="s">
        <v>52</v>
      </c>
      <c r="T6" s="20" t="s">
        <v>53</v>
      </c>
      <c r="U6" s="26"/>
      <c r="V6" s="26"/>
      <c r="W6" s="26"/>
      <c r="X6" s="26"/>
      <c r="Y6" s="26"/>
      <c r="Z6" s="26"/>
      <c r="AA6" s="26"/>
      <c r="AB6" s="12" t="s">
        <v>25</v>
      </c>
      <c r="AC6" s="12" t="s">
        <v>54</v>
      </c>
      <c r="AD6" s="12" t="s">
        <v>55</v>
      </c>
      <c r="AE6" s="12" t="s">
        <v>56</v>
      </c>
      <c r="AF6" s="12" t="s">
        <v>57</v>
      </c>
      <c r="AG6" s="12" t="s">
        <v>58</v>
      </c>
      <c r="AH6" s="12" t="s">
        <v>59</v>
      </c>
      <c r="AI6" s="12" t="s">
        <v>60</v>
      </c>
      <c r="AJ6" s="12" t="s">
        <v>61</v>
      </c>
      <c r="AK6" s="12" t="s">
        <v>62</v>
      </c>
      <c r="AL6" s="12" t="s">
        <v>63</v>
      </c>
      <c r="AM6" s="12" t="s">
        <v>64</v>
      </c>
      <c r="AN6" s="12" t="s">
        <v>65</v>
      </c>
      <c r="AO6" s="12" t="s">
        <v>66</v>
      </c>
      <c r="AP6" s="12" t="s">
        <v>7</v>
      </c>
      <c r="AQ6" s="12" t="s">
        <v>8</v>
      </c>
      <c r="AR6" s="12" t="s">
        <v>9</v>
      </c>
    </row>
    <row r="7" customFormat="false" ht="13.5" hidden="false" customHeight="true" outlineLevel="0" collapsed="false">
      <c r="B7" s="27" t="s">
        <v>67</v>
      </c>
      <c r="C7" s="27" t="s">
        <v>67</v>
      </c>
      <c r="D7" s="13" t="s">
        <v>68</v>
      </c>
      <c r="E7" s="13" t="s">
        <v>68</v>
      </c>
      <c r="F7" s="13" t="s">
        <v>68</v>
      </c>
      <c r="G7" s="13" t="s">
        <v>68</v>
      </c>
      <c r="H7" s="13" t="s">
        <v>68</v>
      </c>
      <c r="I7" s="13" t="s">
        <v>68</v>
      </c>
      <c r="J7" s="13" t="s">
        <v>68</v>
      </c>
      <c r="K7" s="13" t="s">
        <v>68</v>
      </c>
      <c r="L7" s="13" t="s">
        <v>68</v>
      </c>
      <c r="M7" s="13" t="s">
        <v>68</v>
      </c>
      <c r="N7" s="13" t="s">
        <v>68</v>
      </c>
      <c r="O7" s="13" t="s">
        <v>68</v>
      </c>
      <c r="P7" s="13" t="s">
        <v>68</v>
      </c>
      <c r="Q7" s="13" t="s">
        <v>68</v>
      </c>
      <c r="R7" s="28" t="s">
        <v>69</v>
      </c>
      <c r="S7" s="28" t="s">
        <v>69</v>
      </c>
      <c r="T7" s="28" t="s">
        <v>69</v>
      </c>
      <c r="U7" s="29"/>
      <c r="V7" s="29"/>
      <c r="W7" s="29"/>
      <c r="X7" s="29"/>
      <c r="Y7" s="29"/>
      <c r="Z7" s="29"/>
      <c r="AA7" s="29"/>
      <c r="AB7" s="28" t="s">
        <v>70</v>
      </c>
      <c r="AC7" s="28" t="s">
        <v>69</v>
      </c>
      <c r="AD7" s="28" t="s">
        <v>69</v>
      </c>
      <c r="AE7" s="28" t="s">
        <v>69</v>
      </c>
      <c r="AF7" s="28" t="s">
        <v>69</v>
      </c>
      <c r="AG7" s="28" t="s">
        <v>69</v>
      </c>
      <c r="AH7" s="28" t="s">
        <v>69</v>
      </c>
      <c r="AI7" s="28" t="s">
        <v>69</v>
      </c>
      <c r="AJ7" s="28" t="s">
        <v>69</v>
      </c>
      <c r="AK7" s="28" t="s">
        <v>69</v>
      </c>
      <c r="AL7" s="28" t="s">
        <v>69</v>
      </c>
      <c r="AM7" s="28" t="s">
        <v>69</v>
      </c>
      <c r="AN7" s="28" t="s">
        <v>69</v>
      </c>
      <c r="AO7" s="28" t="s">
        <v>69</v>
      </c>
      <c r="AP7" s="27" t="s">
        <v>70</v>
      </c>
      <c r="AQ7" s="27" t="s">
        <v>70</v>
      </c>
      <c r="AR7" s="27" t="s">
        <v>70</v>
      </c>
    </row>
    <row r="8" customFormat="false" ht="18" hidden="false" customHeight="true" outlineLevel="0" collapsed="false">
      <c r="B8" s="30" t="n">
        <f aca="false">'✏️ SME Input'!E9</f>
        <v>0</v>
      </c>
      <c r="C8" s="31" t="str">
        <f aca="false">IF(B8="","",IF(D8&gt;1000,"T3 Complex",IF(D8&gt;500,"T2 Moderate","T1 Simple")))</f>
        <v/>
      </c>
      <c r="D8" s="32" t="n">
        <f aca="false">'✏️ SME Input'!G9</f>
        <v>0</v>
      </c>
      <c r="E8" s="32" t="n">
        <f aca="false">'✏️ SME Input'!H9</f>
        <v>0</v>
      </c>
      <c r="F8" s="32" t="n">
        <f aca="false">'✏️ SME Input'!I9</f>
        <v>0</v>
      </c>
      <c r="G8" s="32" t="n">
        <f aca="false">'✏️ SME Input'!J9</f>
        <v>0</v>
      </c>
      <c r="H8" s="32" t="n">
        <f aca="false">'✏️ SME Input'!K9</f>
        <v>0</v>
      </c>
      <c r="I8" s="32" t="n">
        <f aca="false">'✏️ SME Input'!L9</f>
        <v>0</v>
      </c>
      <c r="J8" s="32" t="n">
        <f aca="false">'✏️ SME Input'!M9</f>
        <v>0</v>
      </c>
      <c r="K8" s="32" t="n">
        <f aca="false">'✏️ SME Input'!N9</f>
        <v>0</v>
      </c>
      <c r="L8" s="32" t="n">
        <f aca="false">'✏️ SME Input'!O9</f>
        <v>0</v>
      </c>
      <c r="M8" s="32" t="n">
        <f aca="false">'✏️ SME Input'!P9</f>
        <v>0</v>
      </c>
      <c r="N8" s="17" t="n">
        <f aca="false">'✏️ SME Input'!Q9</f>
        <v>0</v>
      </c>
      <c r="O8" s="33" t="n">
        <f aca="false">'✏️ SME Input'!R9</f>
        <v>0</v>
      </c>
      <c r="P8" s="33" t="n">
        <f aca="false">'✏️ SME Input'!S9</f>
        <v>0</v>
      </c>
      <c r="Q8" s="32" t="n">
        <f aca="false">'✏️ SME Input'!F9</f>
        <v>0</v>
      </c>
      <c r="R8" s="34" t="n">
        <f aca="false">IF(B8="",0,((D8/100)*'⚙️ Rate Card'!C7+F8*'⚙️ Rate Card'!C9+G8*'⚙️ Rate Card'!C10+H8*'⚙️ Rate Card'!C11+I8*'⚙️ Rate Card'!C12+J8*'⚙️ Rate Card'!C13+K8*'⚙️ Rate Card'!C14+(D8/100)*'⚙️ Rate Card'!C8+L8*IF(OR(O8="N/A",O8="None",O8=""),0,IF(O8="High",'⚙️ Rate Card'!C20,IF(O8="Medium",'⚙️ Rate Card'!C19,'⚙️ Rate Card'!C18)))+M8*IF(OR(P8="Decommission",P8=""),'⚙️ Rate Card'!C29,IF(P8="EC2 (Lift &amp; Shift)",'⚙️ Rate Card'!C25,IF(P8="AWS QuickSight",'⚙️ Rate Card'!C27,IF(P8="Power BI",'⚙️ Rate Card'!C28,IF(P8="Custom Reporting Solution",'⚙️ Rate Card'!C26,0)))))+IF(B8="",0,'⚙️ Rate Card'!C33+(D8/100)*'⚙️ Rate Card'!C34))*'⚙️ Rate Card'!C37+(D8/100)*'⚙️ Rate Card'!C7+F8*'⚙️ Rate Card'!C9+G8*'⚙️ Rate Card'!C10+H8*'⚙️ Rate Card'!C11+I8*'⚙️ Rate Card'!C12+J8*'⚙️ Rate Card'!C13+K8*'⚙️ Rate Card'!C14+(D8/100)*'⚙️ Rate Card'!C8+(D8/100)*'⚙️ Rate Card'!C8+L8*IF(OR(O8="N/A",O8="None",O8=""),0,IF(O8="High",'⚙️ Rate Card'!C20,IF(O8="Medium",'⚙️ Rate Card'!C19,'⚙️ Rate Card'!C18)))+M8*IF(OR(P8="Decommission",P8=""),'⚙️ Rate Card'!C29,IF(P8="EC2 (Lift &amp; Shift)",'⚙️ Rate Card'!C25,IF(P8="AWS QuickSight",'⚙️ Rate Card'!C27,IF(P8="Power BI",'⚙️ Rate Card'!C28,IF(P8="Custom Reporting Solution",'⚙️ Rate Card'!C26,0)))))+IF(B8="",0,'⚙️ Rate Card'!C33+(D8/100)*'⚙️ Rate Card'!C34)+((D8/100)*'⚙️ Rate Card'!C7+F8*'⚙️ Rate Card'!C9+G8*'⚙️ Rate Card'!C10+H8*'⚙️ Rate Card'!C11+I8*'⚙️ Rate Card'!C12+J8*'⚙️ Rate Card'!C13+K8*'⚙️ Rate Card'!C14+(D8/100)*'⚙️ Rate Card'!C8+L8*IF(OR(O8="N/A",O8="None",O8=""),0,IF(O8="High",'⚙️ Rate Card'!C20,IF(O8="Medium",'⚙️ Rate Card'!C19,'⚙️ Rate Card'!C18)))+M8*IF(OR(P8="Decommission",P8=""),'⚙️ Rate Card'!C29,IF(P8="EC2 (Lift &amp; Shift)",'⚙️ Rate Card'!C25,IF(P8="AWS QuickSight",'⚙️ Rate Card'!C27,IF(P8="Power BI",'⚙️ Rate Card'!C28,IF(P8="Custom Reporting Solution",'⚙️ Rate Card'!C26,0)))))+IF(B8="",0,'⚙️ Rate Card'!C33+(D8/100)*'⚙️ Rate Card'!C34))*'⚙️ Rate Card'!C35+((D8/100)*'⚙️ Rate Card'!C7+F8*'⚙️ Rate Card'!C9+G8*'⚙️ Rate Card'!C10+H8*'⚙️ Rate Card'!C11+I8*'⚙️ Rate Card'!C12+J8*'⚙️ Rate Card'!C13+K8*'⚙️ Rate Card'!C14+(D8/100)*'⚙️ Rate Card'!C8+L8*IF(OR(O8="N/A",O8="None",O8=""),0,IF(O8="High",'⚙️ Rate Card'!C20,IF(O8="Medium",'⚙️ Rate Card'!C19,'⚙️ Rate Card'!C18)))+M8*IF(OR(P8="Decommission",P8=""),'⚙️ Rate Card'!C29,IF(P8="EC2 (Lift &amp; Shift)",'⚙️ Rate Card'!C25,IF(P8="AWS QuickSight",'⚙️ Rate Card'!C27,IF(P8="Power BI",'⚙️ Rate Card'!C28,IF(P8="Custom Reporting Solution",'⚙️ Rate Card'!C26,0)))))+IF(B8="",0,'⚙️ Rate Card'!C33+(D8/100)*'⚙️ Rate Card'!C34))*'⚙️ Rate Card'!C36)</f>
        <v>0</v>
      </c>
      <c r="S8" s="34" t="n">
        <f aca="false">IF(B8="",0,(((D8/100)*'⚙️ Rate Card'!C7+F8*'⚙️ Rate Card'!C9+G8*'⚙️ Rate Card'!C10+H8*'⚙️ Rate Card'!C11+I8*'⚙️ Rate Card'!C12+J8*'⚙️ Rate Card'!C13+K8*'⚙️ Rate Card'!C14+(D8/100)*'⚙️ Rate Card'!C8+L8*IF(OR(O8="N/A",O8="None",O8=""),0,IF(O8="High",'⚙️ Rate Card'!C20,IF(O8="Medium",'⚙️ Rate Card'!C19,'⚙️ Rate Card'!C18)))+M8*IF(OR(P8="Decommission",P8=""),'⚙️ Rate Card'!C29,IF(P8="EC2 (Lift &amp; Shift)",'⚙️ Rate Card'!C25,IF(P8="AWS QuickSight",'⚙️ Rate Card'!C27,IF(P8="Power BI",'⚙️ Rate Card'!C28,IF(P8="Custom Reporting Solution",'⚙️ Rate Card'!C26,0)))))+IF(B8="",0,'⚙️ Rate Card'!C33+(D8/100)*'⚙️ Rate Card'!C34))*'⚙️ Rate Card'!C37)*(1-'📊 Dashboard'!C10/100)+(((D8/100)*'⚙️ Rate Card'!C7+F8*'⚙️ Rate Card'!C9+G8*'⚙️ Rate Card'!C10+H8*'⚙️ Rate Card'!C11+I8*'⚙️ Rate Card'!C12+J8*'⚙️ Rate Card'!C13+K8*'⚙️ Rate Card'!C14+(D8/100)*'⚙️ Rate Card'!C8+(D8/100)*'⚙️ Rate Card'!C8))*(1-'📊 Dashboard'!C10/100)+(L8*IF(OR(O8="N/A",O8="None",O8=""),0,IF(O8="High",'⚙️ Rate Card'!C20,IF(O8="Medium",'⚙️ Rate Card'!C19,'⚙️ Rate Card'!C18))))*(1-'📊 Dashboard'!C11/100)+(M8*IF(OR(P8="Decommission",P8=""),'⚙️ Rate Card'!C29,IF(P8="EC2 (Lift &amp; Shift)",'⚙️ Rate Card'!C25,IF(P8="AWS QuickSight",'⚙️ Rate Card'!C27,IF(P8="Power BI",'⚙️ Rate Card'!C28,IF(P8="Custom Reporting Solution",'⚙️ Rate Card'!C26,0))))))*(1-'📊 Dashboard'!C12/100)+(IF(B8="",0,'⚙️ Rate Card'!C33+(D8/100)*'⚙️ Rate Card'!C34))*(1-'📊 Dashboard'!C10/100)+(((D8/100)*'⚙️ Rate Card'!C7+F8*'⚙️ Rate Card'!C9+G8*'⚙️ Rate Card'!C10+H8*'⚙️ Rate Card'!C11+I8*'⚙️ Rate Card'!C12+J8*'⚙️ Rate Card'!C13+K8*'⚙️ Rate Card'!C14+(D8/100)*'⚙️ Rate Card'!C8+L8*IF(OR(O8="N/A",O8="None",O8=""),0,IF(O8="High",'⚙️ Rate Card'!C20,IF(O8="Medium",'⚙️ Rate Card'!C19,'⚙️ Rate Card'!C18)))+M8*IF(OR(P8="Decommission",P8=""),'⚙️ Rate Card'!C29,IF(P8="EC2 (Lift &amp; Shift)",'⚙️ Rate Card'!C25,IF(P8="AWS QuickSight",'⚙️ Rate Card'!C27,IF(P8="Power BI",'⚙️ Rate Card'!C28,IF(P8="Custom Reporting Solution",'⚙️ Rate Card'!C26,0)))))+IF(B8="",0,'⚙️ Rate Card'!C33+(D8/100)*'⚙️ Rate Card'!C34))*'⚙️ Rate Card'!C35)*(1-'📊 Dashboard'!C13/100)+(((D8/100)*'⚙️ Rate Card'!C7+F8*'⚙️ Rate Card'!C9+G8*'⚙️ Rate Card'!C10+H8*'⚙️ Rate Card'!C11+I8*'⚙️ Rate Card'!C12+J8*'⚙️ Rate Card'!C13+K8*'⚙️ Rate Card'!C14+(D8/100)*'⚙️ Rate Card'!C8+L8*IF(OR(O8="N/A",O8="None",O8=""),0,IF(O8="High",'⚙️ Rate Card'!C20,IF(O8="Medium",'⚙️ Rate Card'!C19,'⚙️ Rate Card'!C18)))+M8*IF(OR(P8="Decommission",P8=""),'⚙️ Rate Card'!C29,IF(P8="EC2 (Lift &amp; Shift)",'⚙️ Rate Card'!C25,IF(P8="AWS QuickSight",'⚙️ Rate Card'!C27,IF(P8="Power BI",'⚙️ Rate Card'!C28,IF(P8="Custom Reporting Solution",'⚙️ Rate Card'!C26,0)))))+IF(B8="",0,'⚙️ Rate Card'!C33+(D8/100)*'⚙️ Rate Card'!C34))*'⚙️ Rate Card'!C36)*(1-'📊 Dashboard'!C10/100))</f>
        <v>0</v>
      </c>
      <c r="T8" s="35" t="n">
        <f aca="false">IF(B8="",0,S8*(1+'📊 Dashboard'!C14/100))</f>
        <v>0</v>
      </c>
      <c r="U8" s="36" t="n">
        <f aca="false">IF(B8="",0,((D8/100)*'⚙️ Rate Card'!C7+F8*'⚙️ Rate Card'!C9+G8*'⚙️ Rate Card'!C10+H8*'⚙️ Rate Card'!C11+I8*'⚙️ Rate Card'!C12+J8*'⚙️ Rate Card'!C13+K8*'⚙️ Rate Card'!C14+(D8/100)*'⚙️ Rate Card'!C8+L8*IF(OR(O8="N/A",O8="None",O8=""),0,IF(O8="High",'⚙️ Rate Card'!C20,IF(O8="Medium",'⚙️ Rate Card'!C19,'⚙️ Rate Card'!C18)))+M8*IF(OR(P8="Decommission",P8=""),'⚙️ Rate Card'!C29,IF(P8="EC2 (Lift &amp; Shift)",'⚙️ Rate Card'!C25,IF(P8="AWS QuickSight",'⚙️ Rate Card'!C27,IF(P8="Power BI",'⚙️ Rate Card'!C28,IF(P8="Custom Reporting Solution",'⚙️ Rate Card'!C26,0)))))+IF(B8="",0,'⚙️ Rate Card'!C33+(D8/100)*'⚙️ Rate Card'!C34))*'⚙️ Rate Card'!C37)</f>
        <v>0</v>
      </c>
      <c r="V8" s="36" t="n">
        <f aca="false">IF(B8="",0,(D8/100)*'⚙️ Rate Card'!C7+F8*'⚙️ Rate Card'!C9+G8*'⚙️ Rate Card'!C10+H8*'⚙️ Rate Card'!C11+I8*'⚙️ Rate Card'!C12+J8*'⚙️ Rate Card'!C13+K8*'⚙️ Rate Card'!C14+(D8/100)*'⚙️ Rate Card'!C8+(D8/100)*'⚙️ Rate Card'!C8)</f>
        <v>0</v>
      </c>
      <c r="W8" s="36" t="n">
        <f aca="false">IF(B8="",0,L8*IF(OR(O8="N/A",O8="None",O8=""),0,IF(O8="High",'⚙️ Rate Card'!C20,IF(O8="Medium",'⚙️ Rate Card'!C19,'⚙️ Rate Card'!C18))))</f>
        <v>0</v>
      </c>
      <c r="X8" s="36" t="n">
        <f aca="false">IF(B8="",0,M8*IF(OR(P8="Decommission",P8=""),'⚙️ Rate Card'!C29,IF(P8="EC2 (Lift &amp; Shift)",'⚙️ Rate Card'!C25,IF(P8="AWS QuickSight",'⚙️ Rate Card'!C27,IF(P8="Power BI",'⚙️ Rate Card'!C28,IF(P8="Custom Reporting Solution",'⚙️ Rate Card'!C26,0))))))</f>
        <v>0</v>
      </c>
      <c r="Y8" s="36" t="n">
        <f aca="false">IF(B8="",0,IF(B8="",0,'⚙️ Rate Card'!C33+(D8/100)*'⚙️ Rate Card'!C34))</f>
        <v>0</v>
      </c>
      <c r="Z8" s="36" t="n">
        <f aca="false">IF(B8="",0,((D8/100)*'⚙️ Rate Card'!C7+F8*'⚙️ Rate Card'!C9+G8*'⚙️ Rate Card'!C10+H8*'⚙️ Rate Card'!C11+I8*'⚙️ Rate Card'!C12+J8*'⚙️ Rate Card'!C13+K8*'⚙️ Rate Card'!C14+(D8/100)*'⚙️ Rate Card'!C8+L8*IF(OR(O8="N/A",O8="None",O8=""),0,IF(O8="High",'⚙️ Rate Card'!C20,IF(O8="Medium",'⚙️ Rate Card'!C19,'⚙️ Rate Card'!C18)))+M8*IF(OR(P8="Decommission",P8=""),'⚙️ Rate Card'!C29,IF(P8="EC2 (Lift &amp; Shift)",'⚙️ Rate Card'!C25,IF(P8="AWS QuickSight",'⚙️ Rate Card'!C27,IF(P8="Power BI",'⚙️ Rate Card'!C28,IF(P8="Custom Reporting Solution",'⚙️ Rate Card'!C26,0)))))+IF(B8="",0,'⚙️ Rate Card'!C33+(D8/100)*'⚙️ Rate Card'!C34))*'⚙️ Rate Card'!C35)</f>
        <v>0</v>
      </c>
      <c r="AA8" s="36" t="n">
        <f aca="false">IF(B8="",0,((D8/100)*'⚙️ Rate Card'!C7+F8*'⚙️ Rate Card'!C9+G8*'⚙️ Rate Card'!C10+H8*'⚙️ Rate Card'!C11+I8*'⚙️ Rate Card'!C12+J8*'⚙️ Rate Card'!C13+K8*'⚙️ Rate Card'!C14+(D8/100)*'⚙️ Rate Card'!C8+L8*IF(OR(O8="N/A",O8="None",O8=""),0,IF(O8="High",'⚙️ Rate Card'!C20,IF(O8="Medium",'⚙️ Rate Card'!C19,'⚙️ Rate Card'!C18)))+M8*IF(OR(P8="Decommission",P8=""),'⚙️ Rate Card'!C29,IF(P8="EC2 (Lift &amp; Shift)",'⚙️ Rate Card'!C25,IF(P8="AWS QuickSight",'⚙️ Rate Card'!C27,IF(P8="Power BI",'⚙️ Rate Card'!C28,IF(P8="Custom Reporting Solution",'⚙️ Rate Card'!C26,0)))))+IF(B8="",0,'⚙️ Rate Card'!C33+(D8/100)*'⚙️ Rate Card'!C34))*'⚙️ Rate Card'!C36)</f>
        <v>0</v>
      </c>
      <c r="AB8" s="37" t="n">
        <f aca="false">'✏️ SME Input'!T9</f>
        <v>0</v>
      </c>
      <c r="AC8" s="36" t="n">
        <f aca="false">IF(B8="",0,AB8*0.75)</f>
        <v>0</v>
      </c>
      <c r="AD8" s="36" t="n">
        <f aca="false">IF(B8="",0,AB8*0.75)</f>
        <v>0</v>
      </c>
      <c r="AE8" s="36" t="n">
        <f aca="false">IF(B8="",0,AB8*0.75)</f>
        <v>0</v>
      </c>
      <c r="AF8" s="36" t="n">
        <f aca="false">IF(B8="",0,AB8*2.25)</f>
        <v>0</v>
      </c>
      <c r="AG8" s="36" t="n">
        <f aca="false">IF(B8="",0,((D8/100)*'⚙️ Rate Card'!C7+F8*'⚙️ Rate Card'!C9+G8*'⚙️ Rate Card'!C10+H8*'⚙️ Rate Card'!C11+I8*'⚙️ Rate Card'!C12+J8*'⚙️ Rate Card'!C13+K8*'⚙️ Rate Card'!C14+(D8/100)*'⚙️ Rate Card'!C8)*0.4)</f>
        <v>0</v>
      </c>
      <c r="AH8" s="36" t="n">
        <f aca="false">IF(B8="",0,((D8/100)*'⚙️ Rate Card'!C7+F8*'⚙️ Rate Card'!C9+G8*'⚙️ Rate Card'!C10+H8*'⚙️ Rate Card'!C11+I8*'⚙️ Rate Card'!C12+J8*'⚙️ Rate Card'!C13+K8*'⚙️ Rate Card'!C14+(D8/100)*'⚙️ Rate Card'!C8)*0.4)</f>
        <v>0</v>
      </c>
      <c r="AI8" s="36" t="n">
        <f aca="false">IF(B8="",0,((D8/100)*'⚙️ Rate Card'!C7+F8*'⚙️ Rate Card'!C9+G8*'⚙️ Rate Card'!C10+H8*'⚙️ Rate Card'!C11+I8*'⚙️ Rate Card'!C12+J8*'⚙️ Rate Card'!C13+K8*'⚙️ Rate Card'!C14+(D8/100)*'⚙️ Rate Card'!C8)*0.2)</f>
        <v>0</v>
      </c>
      <c r="AJ8" s="36" t="n">
        <f aca="false">IF(B8="",0,(L8*IF(OR(O8="N/A",O8="None",O8=""),0,IF(O8="High",'⚙️ Rate Card'!C20,IF(O8="Medium",'⚙️ Rate Card'!C19,'⚙️ Rate Card'!C18))))*0.5)</f>
        <v>0</v>
      </c>
      <c r="AK8" s="36" t="n">
        <f aca="false">IF(B8="",0,(L8*IF(OR(O8="N/A",O8="None",O8=""),0,IF(O8="High",'⚙️ Rate Card'!C20,IF(O8="Medium",'⚙️ Rate Card'!C19,'⚙️ Rate Card'!C18))))*0.35)</f>
        <v>0</v>
      </c>
      <c r="AL8" s="36" t="n">
        <f aca="false">IF(B8="",0,(L8*IF(OR(O8="N/A",O8="None",O8=""),0,IF(O8="High",'⚙️ Rate Card'!C20,IF(O8="Medium",'⚙️ Rate Card'!C19,'⚙️ Rate Card'!C18))))*0.15)</f>
        <v>0</v>
      </c>
      <c r="AM8" s="35" t="n">
        <f aca="false">IF(B8="",0,AG8+AJ8+(M8*IF(OR(P8="Decommission",P8=""),'⚙️ Rate Card'!C29,IF(P8="EC2 (Lift &amp; Shift)",'⚙️ Rate Card'!C25,IF(P8="AWS QuickSight",'⚙️ Rate Card'!C27,IF(P8="Power BI",'⚙️ Rate Card'!C28,IF(P8="Custom Reporting Solution",'⚙️ Rate Card'!C26,0))))))*0.4+(IF(B8="",0,'⚙️ Rate Card'!C33+(D8/100)*'⚙️ Rate Card'!C34))*0.4+AC8+(((D8/100)*'⚙️ Rate Card'!C7+F8*'⚙️ Rate Card'!C9+G8*'⚙️ Rate Card'!C10+H8*'⚙️ Rate Card'!C11+I8*'⚙️ Rate Card'!C12+J8*'⚙️ Rate Card'!C13+K8*'⚙️ Rate Card'!C14+(D8/100)*'⚙️ Rate Card'!C8+L8*IF(OR(O8="N/A",O8="None",O8=""),0,IF(O8="High",'⚙️ Rate Card'!C20,IF(O8="Medium",'⚙️ Rate Card'!C19,'⚙️ Rate Card'!C18)))+M8*IF(OR(P8="Decommission",P8=""),'⚙️ Rate Card'!C29,IF(P8="EC2 (Lift &amp; Shift)",'⚙️ Rate Card'!C25,IF(P8="AWS QuickSight",'⚙️ Rate Card'!C27,IF(P8="Power BI",'⚙️ Rate Card'!C28,IF(P8="Custom Reporting Solution",'⚙️ Rate Card'!C26,0)))))+IF(B8="",0,'⚙️ Rate Card'!C33+(D8/100)*'⚙️ Rate Card'!C34)))*'⚙️ Rate Card'!C35*0.4+(((D8/100)*'⚙️ Rate Card'!C7+F8*'⚙️ Rate Card'!C9+G8*'⚙️ Rate Card'!C10+H8*'⚙️ Rate Card'!C11+I8*'⚙️ Rate Card'!C12+J8*'⚙️ Rate Card'!C13+K8*'⚙️ Rate Card'!C14+(D8/100)*'⚙️ Rate Card'!C8+L8*IF(OR(O8="N/A",O8="None",O8=""),0,IF(O8="High",'⚙️ Rate Card'!C20,IF(O8="Medium",'⚙️ Rate Card'!C19,'⚙️ Rate Card'!C18)))+M8*IF(OR(P8="Decommission",P8=""),'⚙️ Rate Card'!C29,IF(P8="EC2 (Lift &amp; Shift)",'⚙️ Rate Card'!C25,IF(P8="AWS QuickSight",'⚙️ Rate Card'!C27,IF(P8="Power BI",'⚙️ Rate Card'!C28,IF(P8="Custom Reporting Solution",'⚙️ Rate Card'!C26,0)))))+IF(B8="",0,'⚙️ Rate Card'!C33+(D8/100)*'⚙️ Rate Card'!C34)))*'⚙️ Rate Card'!C36*0.4+(((D8/100)*'⚙️ Rate Card'!C7+F8*'⚙️ Rate Card'!C9+G8*'⚙️ Rate Card'!C10+H8*'⚙️ Rate Card'!C11+I8*'⚙️ Rate Card'!C12+J8*'⚙️ Rate Card'!C13+K8*'⚙️ Rate Card'!C14+(D8/100)*'⚙️ Rate Card'!C8+L8*IF(OR(O8="N/A",O8="None",O8=""),0,IF(O8="High",'⚙️ Rate Card'!C20,IF(O8="Medium",'⚙️ Rate Card'!C19,'⚙️ Rate Card'!C18)))+M8*IF(OR(P8="Decommission",P8=""),'⚙️ Rate Card'!C29,IF(P8="EC2 (Lift &amp; Shift)",'⚙️ Rate Card'!C25,IF(P8="AWS QuickSight",'⚙️ Rate Card'!C27,IF(P8="Power BI",'⚙️ Rate Card'!C28,IF(P8="Custom Reporting Solution",'⚙️ Rate Card'!C26,0)))))+IF(B8="",0,'⚙️ Rate Card'!C33+(D8/100)*'⚙️ Rate Card'!C34)))*'⚙️ Rate Card'!C37*0.4)</f>
        <v>0</v>
      </c>
      <c r="AN8" s="38" t="n">
        <f aca="false">IF(B8="",0,AH8+AK8+(M8*IF(OR(P8="Decommission",P8=""),'⚙️ Rate Card'!C29,IF(P8="EC2 (Lift &amp; Shift)",'⚙️ Rate Card'!C25,IF(P8="AWS QuickSight",'⚙️ Rate Card'!C27,IF(P8="Power BI",'⚙️ Rate Card'!C28,IF(P8="Custom Reporting Solution",'⚙️ Rate Card'!C26,0))))))*0.4+(IF(B8="",0,'⚙️ Rate Card'!C33+(D8/100)*'⚙️ Rate Card'!C34))*0.4+AD8+(((D8/100)*'⚙️ Rate Card'!C7+F8*'⚙️ Rate Card'!C9+G8*'⚙️ Rate Card'!C10+H8*'⚙️ Rate Card'!C11+I8*'⚙️ Rate Card'!C12+J8*'⚙️ Rate Card'!C13+K8*'⚙️ Rate Card'!C14+(D8/100)*'⚙️ Rate Card'!C8+L8*IF(OR(O8="N/A",O8="None",O8=""),0,IF(O8="High",'⚙️ Rate Card'!C20,IF(O8="Medium",'⚙️ Rate Card'!C19,'⚙️ Rate Card'!C18)))+M8*IF(OR(P8="Decommission",P8=""),'⚙️ Rate Card'!C29,IF(P8="EC2 (Lift &amp; Shift)",'⚙️ Rate Card'!C25,IF(P8="AWS QuickSight",'⚙️ Rate Card'!C27,IF(P8="Power BI",'⚙️ Rate Card'!C28,IF(P8="Custom Reporting Solution",'⚙️ Rate Card'!C26,0)))))+IF(B8="",0,'⚙️ Rate Card'!C33+(D8/100)*'⚙️ Rate Card'!C34)))*'⚙️ Rate Card'!C35*0.4+(((D8/100)*'⚙️ Rate Card'!C7+F8*'⚙️ Rate Card'!C9+G8*'⚙️ Rate Card'!C10+H8*'⚙️ Rate Card'!C11+I8*'⚙️ Rate Card'!C12+J8*'⚙️ Rate Card'!C13+K8*'⚙️ Rate Card'!C14+(D8/100)*'⚙️ Rate Card'!C8+L8*IF(OR(O8="N/A",O8="None",O8=""),0,IF(O8="High",'⚙️ Rate Card'!C20,IF(O8="Medium",'⚙️ Rate Card'!C19,'⚙️ Rate Card'!C18)))+M8*IF(OR(P8="Decommission",P8=""),'⚙️ Rate Card'!C29,IF(P8="EC2 (Lift &amp; Shift)",'⚙️ Rate Card'!C25,IF(P8="AWS QuickSight",'⚙️ Rate Card'!C27,IF(P8="Power BI",'⚙️ Rate Card'!C28,IF(P8="Custom Reporting Solution",'⚙️ Rate Card'!C26,0)))))+IF(B8="",0,'⚙️ Rate Card'!C33+(D8/100)*'⚙️ Rate Card'!C34)))*'⚙️ Rate Card'!C36*0.4+(((D8/100)*'⚙️ Rate Card'!C7+F8*'⚙️ Rate Card'!C9+G8*'⚙️ Rate Card'!C10+H8*'⚙️ Rate Card'!C11+I8*'⚙️ Rate Card'!C12+J8*'⚙️ Rate Card'!C13+K8*'⚙️ Rate Card'!C14+(D8/100)*'⚙️ Rate Card'!C8+L8*IF(OR(O8="N/A",O8="None",O8=""),0,IF(O8="High",'⚙️ Rate Card'!C20,IF(O8="Medium",'⚙️ Rate Card'!C19,'⚙️ Rate Card'!C18)))+M8*IF(OR(P8="Decommission",P8=""),'⚙️ Rate Card'!C29,IF(P8="EC2 (Lift &amp; Shift)",'⚙️ Rate Card'!C25,IF(P8="AWS QuickSight",'⚙️ Rate Card'!C27,IF(P8="Power BI",'⚙️ Rate Card'!C28,IF(P8="Custom Reporting Solution",'⚙️ Rate Card'!C26,0)))))+IF(B8="",0,'⚙️ Rate Card'!C33+(D8/100)*'⚙️ Rate Card'!C34)))*'⚙️ Rate Card'!C37*0.4)</f>
        <v>0</v>
      </c>
      <c r="AO8" s="39" t="n">
        <f aca="false">IF(B8="",0,AI8+AL8+(M8*IF(OR(P8="Decommission",P8=""),'⚙️ Rate Card'!C29,IF(P8="EC2 (Lift &amp; Shift)",'⚙️ Rate Card'!C25,IF(P8="AWS QuickSight",'⚙️ Rate Card'!C27,IF(P8="Power BI",'⚙️ Rate Card'!C28,IF(P8="Custom Reporting Solution",'⚙️ Rate Card'!C26,0))))))*0.2+(IF(B8="",0,'⚙️ Rate Card'!C33+(D8/100)*'⚙️ Rate Card'!C34))*0.2+AE8+(((D8/100)*'⚙️ Rate Card'!C7+F8*'⚙️ Rate Card'!C9+G8*'⚙️ Rate Card'!C10+H8*'⚙️ Rate Card'!C11+I8*'⚙️ Rate Card'!C12+J8*'⚙️ Rate Card'!C13+K8*'⚙️ Rate Card'!C14+(D8/100)*'⚙️ Rate Card'!C8+L8*IF(OR(O8="N/A",O8="None",O8=""),0,IF(O8="High",'⚙️ Rate Card'!C20,IF(O8="Medium",'⚙️ Rate Card'!C19,'⚙️ Rate Card'!C18)))+M8*IF(OR(P8="Decommission",P8=""),'⚙️ Rate Card'!C29,IF(P8="EC2 (Lift &amp; Shift)",'⚙️ Rate Card'!C25,IF(P8="AWS QuickSight",'⚙️ Rate Card'!C27,IF(P8="Power BI",'⚙️ Rate Card'!C28,IF(P8="Custom Reporting Solution",'⚙️ Rate Card'!C26,0)))))+IF(B8="",0,'⚙️ Rate Card'!C33+(D8/100)*'⚙️ Rate Card'!C34)))*'⚙️ Rate Card'!C35*0.2+(((D8/100)*'⚙️ Rate Card'!C7+F8*'⚙️ Rate Card'!C9+G8*'⚙️ Rate Card'!C10+H8*'⚙️ Rate Card'!C11+I8*'⚙️ Rate Card'!C12+J8*'⚙️ Rate Card'!C13+K8*'⚙️ Rate Card'!C14+(D8/100)*'⚙️ Rate Card'!C8+L8*IF(OR(O8="N/A",O8="None",O8=""),0,IF(O8="High",'⚙️ Rate Card'!C20,IF(O8="Medium",'⚙️ Rate Card'!C19,'⚙️ Rate Card'!C18)))+M8*IF(OR(P8="Decommission",P8=""),'⚙️ Rate Card'!C29,IF(P8="EC2 (Lift &amp; Shift)",'⚙️ Rate Card'!C25,IF(P8="AWS QuickSight",'⚙️ Rate Card'!C27,IF(P8="Power BI",'⚙️ Rate Card'!C28,IF(P8="Custom Reporting Solution",'⚙️ Rate Card'!C26,0)))))+IF(B8="",0,'⚙️ Rate Card'!C33+(D8/100)*'⚙️ Rate Card'!C34)))*'⚙️ Rate Card'!C36*0.2+(((D8/100)*'⚙️ Rate Card'!C7+F8*'⚙️ Rate Card'!C9+G8*'⚙️ Rate Card'!C10+H8*'⚙️ Rate Card'!C11+I8*'⚙️ Rate Card'!C12+J8*'⚙️ Rate Card'!C13+K8*'⚙️ Rate Card'!C14+(D8/100)*'⚙️ Rate Card'!C8+L8*IF(OR(O8="N/A",O8="None",O8=""),0,IF(O8="High",'⚙️ Rate Card'!C20,IF(O8="Medium",'⚙️ Rate Card'!C19,'⚙️ Rate Card'!C18)))+M8*IF(OR(P8="Decommission",P8=""),'⚙️ Rate Card'!C29,IF(P8="EC2 (Lift &amp; Shift)",'⚙️ Rate Card'!C25,IF(P8="AWS QuickSight",'⚙️ Rate Card'!C27,IF(P8="Power BI",'⚙️ Rate Card'!C28,IF(P8="Custom Reporting Solution",'⚙️ Rate Card'!C26,0)))))+IF(B8="",0,'⚙️ Rate Card'!C33+(D8/100)*'⚙️ Rate Card'!C34)))*'⚙️ Rate Card'!C37*0.2)</f>
        <v>0</v>
      </c>
      <c r="AP8" s="37" t="n">
        <f aca="false">'✏️ SME Input'!B9</f>
        <v>0</v>
      </c>
      <c r="AQ8" s="37" t="n">
        <f aca="false">'✏️ SME Input'!C9</f>
        <v>0</v>
      </c>
      <c r="AR8" s="37" t="n">
        <f aca="false">'✏️ SME Input'!D9</f>
        <v>0</v>
      </c>
    </row>
    <row r="9" customFormat="false" ht="18" hidden="false" customHeight="true" outlineLevel="0" collapsed="false">
      <c r="B9" s="40" t="n">
        <f aca="false">'✏️ SME Input'!E10</f>
        <v>0</v>
      </c>
      <c r="C9" s="31" t="str">
        <f aca="false">IF(B9="","",IF(D9&gt;1000,"T3 Complex",IF(D9&gt;500,"T2 Moderate","T1 Simple")))</f>
        <v/>
      </c>
      <c r="D9" s="32" t="n">
        <f aca="false">'✏️ SME Input'!G10</f>
        <v>0</v>
      </c>
      <c r="E9" s="32" t="n">
        <f aca="false">'✏️ SME Input'!H10</f>
        <v>0</v>
      </c>
      <c r="F9" s="32" t="n">
        <f aca="false">'✏️ SME Input'!I10</f>
        <v>0</v>
      </c>
      <c r="G9" s="32" t="n">
        <f aca="false">'✏️ SME Input'!J10</f>
        <v>0</v>
      </c>
      <c r="H9" s="32" t="n">
        <f aca="false">'✏️ SME Input'!K10</f>
        <v>0</v>
      </c>
      <c r="I9" s="32" t="n">
        <f aca="false">'✏️ SME Input'!L10</f>
        <v>0</v>
      </c>
      <c r="J9" s="32" t="n">
        <f aca="false">'✏️ SME Input'!M10</f>
        <v>0</v>
      </c>
      <c r="K9" s="32" t="n">
        <f aca="false">'✏️ SME Input'!N10</f>
        <v>0</v>
      </c>
      <c r="L9" s="32" t="n">
        <f aca="false">'✏️ SME Input'!O10</f>
        <v>0</v>
      </c>
      <c r="M9" s="32" t="n">
        <f aca="false">'✏️ SME Input'!P10</f>
        <v>0</v>
      </c>
      <c r="N9" s="17" t="n">
        <f aca="false">'✏️ SME Input'!Q10</f>
        <v>0</v>
      </c>
      <c r="O9" s="33" t="n">
        <f aca="false">'✏️ SME Input'!R10</f>
        <v>0</v>
      </c>
      <c r="P9" s="33" t="n">
        <f aca="false">'✏️ SME Input'!S10</f>
        <v>0</v>
      </c>
      <c r="Q9" s="32" t="n">
        <f aca="false">'✏️ SME Input'!F10</f>
        <v>0</v>
      </c>
      <c r="R9" s="34" t="n">
        <f aca="false">IF(B9="",0,((D9/100)*'⚙️ Rate Card'!C7+F9*'⚙️ Rate Card'!C9+G9*'⚙️ Rate Card'!C10+H9*'⚙️ Rate Card'!C11+I9*'⚙️ Rate Card'!C12+J9*'⚙️ Rate Card'!C13+K9*'⚙️ Rate Card'!C14+(D9/100)*'⚙️ Rate Card'!C8+L9*IF(OR(O9="N/A",O9="None",O9=""),0,IF(O9="High",'⚙️ Rate Card'!C20,IF(O9="Medium",'⚙️ Rate Card'!C19,'⚙️ Rate Card'!C18)))+M9*IF(OR(P9="Decommission",P9=""),'⚙️ Rate Card'!C29,IF(P9="EC2 (Lift &amp; Shift)",'⚙️ Rate Card'!C25,IF(P9="AWS QuickSight",'⚙️ Rate Card'!C27,IF(P9="Power BI",'⚙️ Rate Card'!C28,IF(P9="Custom Reporting Solution",'⚙️ Rate Card'!C26,0)))))+IF(B9="",0,'⚙️ Rate Card'!C33+(D9/100)*'⚙️ Rate Card'!C34))*'⚙️ Rate Card'!C37+(D9/100)*'⚙️ Rate Card'!C7+F9*'⚙️ Rate Card'!C9+G9*'⚙️ Rate Card'!C10+H9*'⚙️ Rate Card'!C11+I9*'⚙️ Rate Card'!C12+J9*'⚙️ Rate Card'!C13+K9*'⚙️ Rate Card'!C14+(D9/100)*'⚙️ Rate Card'!C8+(D9/100)*'⚙️ Rate Card'!C8+L9*IF(OR(O9="N/A",O9="None",O9=""),0,IF(O9="High",'⚙️ Rate Card'!C20,IF(O9="Medium",'⚙️ Rate Card'!C19,'⚙️ Rate Card'!C18)))+M9*IF(OR(P9="Decommission",P9=""),'⚙️ Rate Card'!C29,IF(P9="EC2 (Lift &amp; Shift)",'⚙️ Rate Card'!C25,IF(P9="AWS QuickSight",'⚙️ Rate Card'!C27,IF(P9="Power BI",'⚙️ Rate Card'!C28,IF(P9="Custom Reporting Solution",'⚙️ Rate Card'!C26,0)))))+IF(B9="",0,'⚙️ Rate Card'!C33+(D9/100)*'⚙️ Rate Card'!C34)+((D9/100)*'⚙️ Rate Card'!C7+F9*'⚙️ Rate Card'!C9+G9*'⚙️ Rate Card'!C10+H9*'⚙️ Rate Card'!C11+I9*'⚙️ Rate Card'!C12+J9*'⚙️ Rate Card'!C13+K9*'⚙️ Rate Card'!C14+(D9/100)*'⚙️ Rate Card'!C8+L9*IF(OR(O9="N/A",O9="None",O9=""),0,IF(O9="High",'⚙️ Rate Card'!C20,IF(O9="Medium",'⚙️ Rate Card'!C19,'⚙️ Rate Card'!C18)))+M9*IF(OR(P9="Decommission",P9=""),'⚙️ Rate Card'!C29,IF(P9="EC2 (Lift &amp; Shift)",'⚙️ Rate Card'!C25,IF(P9="AWS QuickSight",'⚙️ Rate Card'!C27,IF(P9="Power BI",'⚙️ Rate Card'!C28,IF(P9="Custom Reporting Solution",'⚙️ Rate Card'!C26,0)))))+IF(B9="",0,'⚙️ Rate Card'!C33+(D9/100)*'⚙️ Rate Card'!C34))*'⚙️ Rate Card'!C35+((D9/100)*'⚙️ Rate Card'!C7+F9*'⚙️ Rate Card'!C9+G9*'⚙️ Rate Card'!C10+H9*'⚙️ Rate Card'!C11+I9*'⚙️ Rate Card'!C12+J9*'⚙️ Rate Card'!C13+K9*'⚙️ Rate Card'!C14+(D9/100)*'⚙️ Rate Card'!C8+L9*IF(OR(O9="N/A",O9="None",O9=""),0,IF(O9="High",'⚙️ Rate Card'!C20,IF(O9="Medium",'⚙️ Rate Card'!C19,'⚙️ Rate Card'!C18)))+M9*IF(OR(P9="Decommission",P9=""),'⚙️ Rate Card'!C29,IF(P9="EC2 (Lift &amp; Shift)",'⚙️ Rate Card'!C25,IF(P9="AWS QuickSight",'⚙️ Rate Card'!C27,IF(P9="Power BI",'⚙️ Rate Card'!C28,IF(P9="Custom Reporting Solution",'⚙️ Rate Card'!C26,0)))))+IF(B9="",0,'⚙️ Rate Card'!C33+(D9/100)*'⚙️ Rate Card'!C34))*'⚙️ Rate Card'!C36)</f>
        <v>0</v>
      </c>
      <c r="S9" s="34" t="n">
        <f aca="false">IF(B9="",0,(((D9/100)*'⚙️ Rate Card'!C7+F9*'⚙️ Rate Card'!C9+G9*'⚙️ Rate Card'!C10+H9*'⚙️ Rate Card'!C11+I9*'⚙️ Rate Card'!C12+J9*'⚙️ Rate Card'!C13+K9*'⚙️ Rate Card'!C14+(D9/100)*'⚙️ Rate Card'!C8+L9*IF(OR(O9="N/A",O9="None",O9=""),0,IF(O9="High",'⚙️ Rate Card'!C20,IF(O9="Medium",'⚙️ Rate Card'!C19,'⚙️ Rate Card'!C18)))+M9*IF(OR(P9="Decommission",P9=""),'⚙️ Rate Card'!C29,IF(P9="EC2 (Lift &amp; Shift)",'⚙️ Rate Card'!C25,IF(P9="AWS QuickSight",'⚙️ Rate Card'!C27,IF(P9="Power BI",'⚙️ Rate Card'!C28,IF(P9="Custom Reporting Solution",'⚙️ Rate Card'!C26,0)))))+IF(B9="",0,'⚙️ Rate Card'!C33+(D9/100)*'⚙️ Rate Card'!C34))*'⚙️ Rate Card'!C37)*(1-'📊 Dashboard'!C10/100)+(((D9/100)*'⚙️ Rate Card'!C7+F9*'⚙️ Rate Card'!C9+G9*'⚙️ Rate Card'!C10+H9*'⚙️ Rate Card'!C11+I9*'⚙️ Rate Card'!C12+J9*'⚙️ Rate Card'!C13+K9*'⚙️ Rate Card'!C14+(D9/100)*'⚙️ Rate Card'!C8+(D9/100)*'⚙️ Rate Card'!C8))*(1-'📊 Dashboard'!C10/100)+(L9*IF(OR(O9="N/A",O9="None",O9=""),0,IF(O9="High",'⚙️ Rate Card'!C20,IF(O9="Medium",'⚙️ Rate Card'!C19,'⚙️ Rate Card'!C18))))*(1-'📊 Dashboard'!C11/100)+(M9*IF(OR(P9="Decommission",P9=""),'⚙️ Rate Card'!C29,IF(P9="EC2 (Lift &amp; Shift)",'⚙️ Rate Card'!C25,IF(P9="AWS QuickSight",'⚙️ Rate Card'!C27,IF(P9="Power BI",'⚙️ Rate Card'!C28,IF(P9="Custom Reporting Solution",'⚙️ Rate Card'!C26,0))))))*(1-'📊 Dashboard'!C12/100)+(IF(B9="",0,'⚙️ Rate Card'!C33+(D9/100)*'⚙️ Rate Card'!C34))*(1-'📊 Dashboard'!C10/100)+(((D9/100)*'⚙️ Rate Card'!C7+F9*'⚙️ Rate Card'!C9+G9*'⚙️ Rate Card'!C10+H9*'⚙️ Rate Card'!C11+I9*'⚙️ Rate Card'!C12+J9*'⚙️ Rate Card'!C13+K9*'⚙️ Rate Card'!C14+(D9/100)*'⚙️ Rate Card'!C8+L9*IF(OR(O9="N/A",O9="None",O9=""),0,IF(O9="High",'⚙️ Rate Card'!C20,IF(O9="Medium",'⚙️ Rate Card'!C19,'⚙️ Rate Card'!C18)))+M9*IF(OR(P9="Decommission",P9=""),'⚙️ Rate Card'!C29,IF(P9="EC2 (Lift &amp; Shift)",'⚙️ Rate Card'!C25,IF(P9="AWS QuickSight",'⚙️ Rate Card'!C27,IF(P9="Power BI",'⚙️ Rate Card'!C28,IF(P9="Custom Reporting Solution",'⚙️ Rate Card'!C26,0)))))+IF(B9="",0,'⚙️ Rate Card'!C33+(D9/100)*'⚙️ Rate Card'!C34))*'⚙️ Rate Card'!C35)*(1-'📊 Dashboard'!C13/100)+(((D9/100)*'⚙️ Rate Card'!C7+F9*'⚙️ Rate Card'!C9+G9*'⚙️ Rate Card'!C10+H9*'⚙️ Rate Card'!C11+I9*'⚙️ Rate Card'!C12+J9*'⚙️ Rate Card'!C13+K9*'⚙️ Rate Card'!C14+(D9/100)*'⚙️ Rate Card'!C8+L9*IF(OR(O9="N/A",O9="None",O9=""),0,IF(O9="High",'⚙️ Rate Card'!C20,IF(O9="Medium",'⚙️ Rate Card'!C19,'⚙️ Rate Card'!C18)))+M9*IF(OR(P9="Decommission",P9=""),'⚙️ Rate Card'!C29,IF(P9="EC2 (Lift &amp; Shift)",'⚙️ Rate Card'!C25,IF(P9="AWS QuickSight",'⚙️ Rate Card'!C27,IF(P9="Power BI",'⚙️ Rate Card'!C28,IF(P9="Custom Reporting Solution",'⚙️ Rate Card'!C26,0)))))+IF(B9="",0,'⚙️ Rate Card'!C33+(D9/100)*'⚙️ Rate Card'!C34))*'⚙️ Rate Card'!C36)*(1-'📊 Dashboard'!C10/100))</f>
        <v>0</v>
      </c>
      <c r="T9" s="35" t="n">
        <f aca="false">IF(B9="",0,S9*(1+'📊 Dashboard'!C14/100))</f>
        <v>0</v>
      </c>
      <c r="U9" s="41" t="n">
        <f aca="false">IF(B9="",0,((D9/100)*'⚙️ Rate Card'!C7+F9*'⚙️ Rate Card'!C9+G9*'⚙️ Rate Card'!C10+H9*'⚙️ Rate Card'!C11+I9*'⚙️ Rate Card'!C12+J9*'⚙️ Rate Card'!C13+K9*'⚙️ Rate Card'!C14+(D9/100)*'⚙️ Rate Card'!C8+L9*IF(OR(O9="N/A",O9="None",O9=""),0,IF(O9="High",'⚙️ Rate Card'!C20,IF(O9="Medium",'⚙️ Rate Card'!C19,'⚙️ Rate Card'!C18)))+M9*IF(OR(P9="Decommission",P9=""),'⚙️ Rate Card'!C29,IF(P9="EC2 (Lift &amp; Shift)",'⚙️ Rate Card'!C25,IF(P9="AWS QuickSight",'⚙️ Rate Card'!C27,IF(P9="Power BI",'⚙️ Rate Card'!C28,IF(P9="Custom Reporting Solution",'⚙️ Rate Card'!C26,0)))))+IF(B9="",0,'⚙️ Rate Card'!C33+(D9/100)*'⚙️ Rate Card'!C34))*'⚙️ Rate Card'!C37)</f>
        <v>0</v>
      </c>
      <c r="V9" s="41" t="n">
        <f aca="false">IF(B9="",0,(D9/100)*'⚙️ Rate Card'!C7+F9*'⚙️ Rate Card'!C9+G9*'⚙️ Rate Card'!C10+H9*'⚙️ Rate Card'!C11+I9*'⚙️ Rate Card'!C12+J9*'⚙️ Rate Card'!C13+K9*'⚙️ Rate Card'!C14+(D9/100)*'⚙️ Rate Card'!C8+(D9/100)*'⚙️ Rate Card'!C8)</f>
        <v>0</v>
      </c>
      <c r="W9" s="41" t="n">
        <f aca="false">IF(B9="",0,L9*IF(OR(O9="N/A",O9="None",O9=""),0,IF(O9="High",'⚙️ Rate Card'!C20,IF(O9="Medium",'⚙️ Rate Card'!C19,'⚙️ Rate Card'!C18))))</f>
        <v>0</v>
      </c>
      <c r="X9" s="41" t="n">
        <f aca="false">IF(B9="",0,M9*IF(OR(P9="Decommission",P9=""),'⚙️ Rate Card'!C29,IF(P9="EC2 (Lift &amp; Shift)",'⚙️ Rate Card'!C25,IF(P9="AWS QuickSight",'⚙️ Rate Card'!C27,IF(P9="Power BI",'⚙️ Rate Card'!C28,IF(P9="Custom Reporting Solution",'⚙️ Rate Card'!C26,0))))))</f>
        <v>0</v>
      </c>
      <c r="Y9" s="41" t="n">
        <f aca="false">IF(B9="",0,IF(B9="",0,'⚙️ Rate Card'!C33+(D9/100)*'⚙️ Rate Card'!C34))</f>
        <v>0</v>
      </c>
      <c r="Z9" s="41" t="n">
        <f aca="false">IF(B9="",0,((D9/100)*'⚙️ Rate Card'!C7+F9*'⚙️ Rate Card'!C9+G9*'⚙️ Rate Card'!C10+H9*'⚙️ Rate Card'!C11+I9*'⚙️ Rate Card'!C12+J9*'⚙️ Rate Card'!C13+K9*'⚙️ Rate Card'!C14+(D9/100)*'⚙️ Rate Card'!C8+L9*IF(OR(O9="N/A",O9="None",O9=""),0,IF(O9="High",'⚙️ Rate Card'!C20,IF(O9="Medium",'⚙️ Rate Card'!C19,'⚙️ Rate Card'!C18)))+M9*IF(OR(P9="Decommission",P9=""),'⚙️ Rate Card'!C29,IF(P9="EC2 (Lift &amp; Shift)",'⚙️ Rate Card'!C25,IF(P9="AWS QuickSight",'⚙️ Rate Card'!C27,IF(P9="Power BI",'⚙️ Rate Card'!C28,IF(P9="Custom Reporting Solution",'⚙️ Rate Card'!C26,0)))))+IF(B9="",0,'⚙️ Rate Card'!C33+(D9/100)*'⚙️ Rate Card'!C34))*'⚙️ Rate Card'!C35)</f>
        <v>0</v>
      </c>
      <c r="AA9" s="41" t="n">
        <f aca="false">IF(B9="",0,((D9/100)*'⚙️ Rate Card'!C7+F9*'⚙️ Rate Card'!C9+G9*'⚙️ Rate Card'!C10+H9*'⚙️ Rate Card'!C11+I9*'⚙️ Rate Card'!C12+J9*'⚙️ Rate Card'!C13+K9*'⚙️ Rate Card'!C14+(D9/100)*'⚙️ Rate Card'!C8+L9*IF(OR(O9="N/A",O9="None",O9=""),0,IF(O9="High",'⚙️ Rate Card'!C20,IF(O9="Medium",'⚙️ Rate Card'!C19,'⚙️ Rate Card'!C18)))+M9*IF(OR(P9="Decommission",P9=""),'⚙️ Rate Card'!C29,IF(P9="EC2 (Lift &amp; Shift)",'⚙️ Rate Card'!C25,IF(P9="AWS QuickSight",'⚙️ Rate Card'!C27,IF(P9="Power BI",'⚙️ Rate Card'!C28,IF(P9="Custom Reporting Solution",'⚙️ Rate Card'!C26,0)))))+IF(B9="",0,'⚙️ Rate Card'!C33+(D9/100)*'⚙️ Rate Card'!C34))*'⚙️ Rate Card'!C36)</f>
        <v>0</v>
      </c>
      <c r="AB9" s="37" t="n">
        <f aca="false">'✏️ SME Input'!T10</f>
        <v>0</v>
      </c>
      <c r="AC9" s="41" t="n">
        <f aca="false">IF(B9="",0,AB9*0.75)</f>
        <v>0</v>
      </c>
      <c r="AD9" s="41" t="n">
        <f aca="false">IF(B9="",0,AB9*0.75)</f>
        <v>0</v>
      </c>
      <c r="AE9" s="41" t="n">
        <f aca="false">IF(B9="",0,AB9*0.75)</f>
        <v>0</v>
      </c>
      <c r="AF9" s="41" t="n">
        <f aca="false">IF(B9="",0,AB9*2.25)</f>
        <v>0</v>
      </c>
      <c r="AG9" s="41" t="n">
        <f aca="false">IF(B9="",0,((D9/100)*'⚙️ Rate Card'!C7+F9*'⚙️ Rate Card'!C9+G9*'⚙️ Rate Card'!C10+H9*'⚙️ Rate Card'!C11+I9*'⚙️ Rate Card'!C12+J9*'⚙️ Rate Card'!C13+K9*'⚙️ Rate Card'!C14+(D9/100)*'⚙️ Rate Card'!C8)*0.4)</f>
        <v>0</v>
      </c>
      <c r="AH9" s="41" t="n">
        <f aca="false">IF(B9="",0,((D9/100)*'⚙️ Rate Card'!C7+F9*'⚙️ Rate Card'!C9+G9*'⚙️ Rate Card'!C10+H9*'⚙️ Rate Card'!C11+I9*'⚙️ Rate Card'!C12+J9*'⚙️ Rate Card'!C13+K9*'⚙️ Rate Card'!C14+(D9/100)*'⚙️ Rate Card'!C8)*0.4)</f>
        <v>0</v>
      </c>
      <c r="AI9" s="41" t="n">
        <f aca="false">IF(B9="",0,((D9/100)*'⚙️ Rate Card'!C7+F9*'⚙️ Rate Card'!C9+G9*'⚙️ Rate Card'!C10+H9*'⚙️ Rate Card'!C11+I9*'⚙️ Rate Card'!C12+J9*'⚙️ Rate Card'!C13+K9*'⚙️ Rate Card'!C14+(D9/100)*'⚙️ Rate Card'!C8)*0.2)</f>
        <v>0</v>
      </c>
      <c r="AJ9" s="41" t="n">
        <f aca="false">IF(B9="",0,(L9*IF(OR(O9="N/A",O9="None",O9=""),0,IF(O9="High",'⚙️ Rate Card'!C20,IF(O9="Medium",'⚙️ Rate Card'!C19,'⚙️ Rate Card'!C18))))*0.5)</f>
        <v>0</v>
      </c>
      <c r="AK9" s="41" t="n">
        <f aca="false">IF(B9="",0,(L9*IF(OR(O9="N/A",O9="None",O9=""),0,IF(O9="High",'⚙️ Rate Card'!C20,IF(O9="Medium",'⚙️ Rate Card'!C19,'⚙️ Rate Card'!C18))))*0.35)</f>
        <v>0</v>
      </c>
      <c r="AL9" s="41" t="n">
        <f aca="false">IF(B9="",0,(L9*IF(OR(O9="N/A",O9="None",O9=""),0,IF(O9="High",'⚙️ Rate Card'!C20,IF(O9="Medium",'⚙️ Rate Card'!C19,'⚙️ Rate Card'!C18))))*0.15)</f>
        <v>0</v>
      </c>
      <c r="AM9" s="35" t="n">
        <f aca="false">IF(B9="",0,AG9+AJ9+(M9*IF(OR(P9="Decommission",P9=""),'⚙️ Rate Card'!C29,IF(P9="EC2 (Lift &amp; Shift)",'⚙️ Rate Card'!C25,IF(P9="AWS QuickSight",'⚙️ Rate Card'!C27,IF(P9="Power BI",'⚙️ Rate Card'!C28,IF(P9="Custom Reporting Solution",'⚙️ Rate Card'!C26,0))))))*0.4+(IF(B9="",0,'⚙️ Rate Card'!C33+(D9/100)*'⚙️ Rate Card'!C34))*0.4+AC9+(((D9/100)*'⚙️ Rate Card'!C7+F9*'⚙️ Rate Card'!C9+G9*'⚙️ Rate Card'!C10+H9*'⚙️ Rate Card'!C11+I9*'⚙️ Rate Card'!C12+J9*'⚙️ Rate Card'!C13+K9*'⚙️ Rate Card'!C14+(D9/100)*'⚙️ Rate Card'!C8+L9*IF(OR(O9="N/A",O9="None",O9=""),0,IF(O9="High",'⚙️ Rate Card'!C20,IF(O9="Medium",'⚙️ Rate Card'!C19,'⚙️ Rate Card'!C18)))+M9*IF(OR(P9="Decommission",P9=""),'⚙️ Rate Card'!C29,IF(P9="EC2 (Lift &amp; Shift)",'⚙️ Rate Card'!C25,IF(P9="AWS QuickSight",'⚙️ Rate Card'!C27,IF(P9="Power BI",'⚙️ Rate Card'!C28,IF(P9="Custom Reporting Solution",'⚙️ Rate Card'!C26,0)))))+IF(B9="",0,'⚙️ Rate Card'!C33+(D9/100)*'⚙️ Rate Card'!C34)))*'⚙️ Rate Card'!C35*0.4+(((D9/100)*'⚙️ Rate Card'!C7+F9*'⚙️ Rate Card'!C9+G9*'⚙️ Rate Card'!C10+H9*'⚙️ Rate Card'!C11+I9*'⚙️ Rate Card'!C12+J9*'⚙️ Rate Card'!C13+K9*'⚙️ Rate Card'!C14+(D9/100)*'⚙️ Rate Card'!C8+L9*IF(OR(O9="N/A",O9="None",O9=""),0,IF(O9="High",'⚙️ Rate Card'!C20,IF(O9="Medium",'⚙️ Rate Card'!C19,'⚙️ Rate Card'!C18)))+M9*IF(OR(P9="Decommission",P9=""),'⚙️ Rate Card'!C29,IF(P9="EC2 (Lift &amp; Shift)",'⚙️ Rate Card'!C25,IF(P9="AWS QuickSight",'⚙️ Rate Card'!C27,IF(P9="Power BI",'⚙️ Rate Card'!C28,IF(P9="Custom Reporting Solution",'⚙️ Rate Card'!C26,0)))))+IF(B9="",0,'⚙️ Rate Card'!C33+(D9/100)*'⚙️ Rate Card'!C34)))*'⚙️ Rate Card'!C36*0.4+(((D9/100)*'⚙️ Rate Card'!C7+F9*'⚙️ Rate Card'!C9+G9*'⚙️ Rate Card'!C10+H9*'⚙️ Rate Card'!C11+I9*'⚙️ Rate Card'!C12+J9*'⚙️ Rate Card'!C13+K9*'⚙️ Rate Card'!C14+(D9/100)*'⚙️ Rate Card'!C8+L9*IF(OR(O9="N/A",O9="None",O9=""),0,IF(O9="High",'⚙️ Rate Card'!C20,IF(O9="Medium",'⚙️ Rate Card'!C19,'⚙️ Rate Card'!C18)))+M9*IF(OR(P9="Decommission",P9=""),'⚙️ Rate Card'!C29,IF(P9="EC2 (Lift &amp; Shift)",'⚙️ Rate Card'!C25,IF(P9="AWS QuickSight",'⚙️ Rate Card'!C27,IF(P9="Power BI",'⚙️ Rate Card'!C28,IF(P9="Custom Reporting Solution",'⚙️ Rate Card'!C26,0)))))+IF(B9="",0,'⚙️ Rate Card'!C33+(D9/100)*'⚙️ Rate Card'!C34)))*'⚙️ Rate Card'!C37*0.4)</f>
        <v>0</v>
      </c>
      <c r="AN9" s="38" t="n">
        <f aca="false">IF(B9="",0,AH9+AK9+(M9*IF(OR(P9="Decommission",P9=""),'⚙️ Rate Card'!C29,IF(P9="EC2 (Lift &amp; Shift)",'⚙️ Rate Card'!C25,IF(P9="AWS QuickSight",'⚙️ Rate Card'!C27,IF(P9="Power BI",'⚙️ Rate Card'!C28,IF(P9="Custom Reporting Solution",'⚙️ Rate Card'!C26,0))))))*0.4+(IF(B9="",0,'⚙️ Rate Card'!C33+(D9/100)*'⚙️ Rate Card'!C34))*0.4+AD9+(((D9/100)*'⚙️ Rate Card'!C7+F9*'⚙️ Rate Card'!C9+G9*'⚙️ Rate Card'!C10+H9*'⚙️ Rate Card'!C11+I9*'⚙️ Rate Card'!C12+J9*'⚙️ Rate Card'!C13+K9*'⚙️ Rate Card'!C14+(D9/100)*'⚙️ Rate Card'!C8+L9*IF(OR(O9="N/A",O9="None",O9=""),0,IF(O9="High",'⚙️ Rate Card'!C20,IF(O9="Medium",'⚙️ Rate Card'!C19,'⚙️ Rate Card'!C18)))+M9*IF(OR(P9="Decommission",P9=""),'⚙️ Rate Card'!C29,IF(P9="EC2 (Lift &amp; Shift)",'⚙️ Rate Card'!C25,IF(P9="AWS QuickSight",'⚙️ Rate Card'!C27,IF(P9="Power BI",'⚙️ Rate Card'!C28,IF(P9="Custom Reporting Solution",'⚙️ Rate Card'!C26,0)))))+IF(B9="",0,'⚙️ Rate Card'!C33+(D9/100)*'⚙️ Rate Card'!C34)))*'⚙️ Rate Card'!C35*0.4+(((D9/100)*'⚙️ Rate Card'!C7+F9*'⚙️ Rate Card'!C9+G9*'⚙️ Rate Card'!C10+H9*'⚙️ Rate Card'!C11+I9*'⚙️ Rate Card'!C12+J9*'⚙️ Rate Card'!C13+K9*'⚙️ Rate Card'!C14+(D9/100)*'⚙️ Rate Card'!C8+L9*IF(OR(O9="N/A",O9="None",O9=""),0,IF(O9="High",'⚙️ Rate Card'!C20,IF(O9="Medium",'⚙️ Rate Card'!C19,'⚙️ Rate Card'!C18)))+M9*IF(OR(P9="Decommission",P9=""),'⚙️ Rate Card'!C29,IF(P9="EC2 (Lift &amp; Shift)",'⚙️ Rate Card'!C25,IF(P9="AWS QuickSight",'⚙️ Rate Card'!C27,IF(P9="Power BI",'⚙️ Rate Card'!C28,IF(P9="Custom Reporting Solution",'⚙️ Rate Card'!C26,0)))))+IF(B9="",0,'⚙️ Rate Card'!C33+(D9/100)*'⚙️ Rate Card'!C34)))*'⚙️ Rate Card'!C36*0.4+(((D9/100)*'⚙️ Rate Card'!C7+F9*'⚙️ Rate Card'!C9+G9*'⚙️ Rate Card'!C10+H9*'⚙️ Rate Card'!C11+I9*'⚙️ Rate Card'!C12+J9*'⚙️ Rate Card'!C13+K9*'⚙️ Rate Card'!C14+(D9/100)*'⚙️ Rate Card'!C8+L9*IF(OR(O9="N/A",O9="None",O9=""),0,IF(O9="High",'⚙️ Rate Card'!C20,IF(O9="Medium",'⚙️ Rate Card'!C19,'⚙️ Rate Card'!C18)))+M9*IF(OR(P9="Decommission",P9=""),'⚙️ Rate Card'!C29,IF(P9="EC2 (Lift &amp; Shift)",'⚙️ Rate Card'!C25,IF(P9="AWS QuickSight",'⚙️ Rate Card'!C27,IF(P9="Power BI",'⚙️ Rate Card'!C28,IF(P9="Custom Reporting Solution",'⚙️ Rate Card'!C26,0)))))+IF(B9="",0,'⚙️ Rate Card'!C33+(D9/100)*'⚙️ Rate Card'!C34)))*'⚙️ Rate Card'!C37*0.4)</f>
        <v>0</v>
      </c>
      <c r="AO9" s="39" t="n">
        <f aca="false">IF(B9="",0,AI9+AL9+(M9*IF(OR(P9="Decommission",P9=""),'⚙️ Rate Card'!C29,IF(P9="EC2 (Lift &amp; Shift)",'⚙️ Rate Card'!C25,IF(P9="AWS QuickSight",'⚙️ Rate Card'!C27,IF(P9="Power BI",'⚙️ Rate Card'!C28,IF(P9="Custom Reporting Solution",'⚙️ Rate Card'!C26,0))))))*0.2+(IF(B9="",0,'⚙️ Rate Card'!C33+(D9/100)*'⚙️ Rate Card'!C34))*0.2+AE9+(((D9/100)*'⚙️ Rate Card'!C7+F9*'⚙️ Rate Card'!C9+G9*'⚙️ Rate Card'!C10+H9*'⚙️ Rate Card'!C11+I9*'⚙️ Rate Card'!C12+J9*'⚙️ Rate Card'!C13+K9*'⚙️ Rate Card'!C14+(D9/100)*'⚙️ Rate Card'!C8+L9*IF(OR(O9="N/A",O9="None",O9=""),0,IF(O9="High",'⚙️ Rate Card'!C20,IF(O9="Medium",'⚙️ Rate Card'!C19,'⚙️ Rate Card'!C18)))+M9*IF(OR(P9="Decommission",P9=""),'⚙️ Rate Card'!C29,IF(P9="EC2 (Lift &amp; Shift)",'⚙️ Rate Card'!C25,IF(P9="AWS QuickSight",'⚙️ Rate Card'!C27,IF(P9="Power BI",'⚙️ Rate Card'!C28,IF(P9="Custom Reporting Solution",'⚙️ Rate Card'!C26,0)))))+IF(B9="",0,'⚙️ Rate Card'!C33+(D9/100)*'⚙️ Rate Card'!C34)))*'⚙️ Rate Card'!C35*0.2+(((D9/100)*'⚙️ Rate Card'!C7+F9*'⚙️ Rate Card'!C9+G9*'⚙️ Rate Card'!C10+H9*'⚙️ Rate Card'!C11+I9*'⚙️ Rate Card'!C12+J9*'⚙️ Rate Card'!C13+K9*'⚙️ Rate Card'!C14+(D9/100)*'⚙️ Rate Card'!C8+L9*IF(OR(O9="N/A",O9="None",O9=""),0,IF(O9="High",'⚙️ Rate Card'!C20,IF(O9="Medium",'⚙️ Rate Card'!C19,'⚙️ Rate Card'!C18)))+M9*IF(OR(P9="Decommission",P9=""),'⚙️ Rate Card'!C29,IF(P9="EC2 (Lift &amp; Shift)",'⚙️ Rate Card'!C25,IF(P9="AWS QuickSight",'⚙️ Rate Card'!C27,IF(P9="Power BI",'⚙️ Rate Card'!C28,IF(P9="Custom Reporting Solution",'⚙️ Rate Card'!C26,0)))))+IF(B9="",0,'⚙️ Rate Card'!C33+(D9/100)*'⚙️ Rate Card'!C34)))*'⚙️ Rate Card'!C36*0.2+(((D9/100)*'⚙️ Rate Card'!C7+F9*'⚙️ Rate Card'!C9+G9*'⚙️ Rate Card'!C10+H9*'⚙️ Rate Card'!C11+I9*'⚙️ Rate Card'!C12+J9*'⚙️ Rate Card'!C13+K9*'⚙️ Rate Card'!C14+(D9/100)*'⚙️ Rate Card'!C8+L9*IF(OR(O9="N/A",O9="None",O9=""),0,IF(O9="High",'⚙️ Rate Card'!C20,IF(O9="Medium",'⚙️ Rate Card'!C19,'⚙️ Rate Card'!C18)))+M9*IF(OR(P9="Decommission",P9=""),'⚙️ Rate Card'!C29,IF(P9="EC2 (Lift &amp; Shift)",'⚙️ Rate Card'!C25,IF(P9="AWS QuickSight",'⚙️ Rate Card'!C27,IF(P9="Power BI",'⚙️ Rate Card'!C28,IF(P9="Custom Reporting Solution",'⚙️ Rate Card'!C26,0)))))+IF(B9="",0,'⚙️ Rate Card'!C33+(D9/100)*'⚙️ Rate Card'!C34)))*'⚙️ Rate Card'!C37*0.2)</f>
        <v>0</v>
      </c>
      <c r="AP9" s="42" t="n">
        <f aca="false">'✏️ SME Input'!B10</f>
        <v>0</v>
      </c>
      <c r="AQ9" s="42" t="n">
        <f aca="false">'✏️ SME Input'!C10</f>
        <v>0</v>
      </c>
      <c r="AR9" s="42" t="n">
        <f aca="false">'✏️ SME Input'!D10</f>
        <v>0</v>
      </c>
    </row>
    <row r="10" customFormat="false" ht="18" hidden="false" customHeight="true" outlineLevel="0" collapsed="false">
      <c r="B10" s="30" t="n">
        <f aca="false">'✏️ SME Input'!E11</f>
        <v>0</v>
      </c>
      <c r="C10" s="31" t="str">
        <f aca="false">IF(B10="","",IF(D10&gt;1000,"T3 Complex",IF(D10&gt;500,"T2 Moderate","T1 Simple")))</f>
        <v/>
      </c>
      <c r="D10" s="32" t="n">
        <f aca="false">'✏️ SME Input'!G11</f>
        <v>0</v>
      </c>
      <c r="E10" s="32" t="n">
        <f aca="false">'✏️ SME Input'!H11</f>
        <v>0</v>
      </c>
      <c r="F10" s="32" t="n">
        <f aca="false">'✏️ SME Input'!I11</f>
        <v>0</v>
      </c>
      <c r="G10" s="32" t="n">
        <f aca="false">'✏️ SME Input'!J11</f>
        <v>0</v>
      </c>
      <c r="H10" s="32" t="n">
        <f aca="false">'✏️ SME Input'!K11</f>
        <v>0</v>
      </c>
      <c r="I10" s="32" t="n">
        <f aca="false">'✏️ SME Input'!L11</f>
        <v>0</v>
      </c>
      <c r="J10" s="32" t="n">
        <f aca="false">'✏️ SME Input'!M11</f>
        <v>0</v>
      </c>
      <c r="K10" s="32" t="n">
        <f aca="false">'✏️ SME Input'!N11</f>
        <v>0</v>
      </c>
      <c r="L10" s="32" t="n">
        <f aca="false">'✏️ SME Input'!O11</f>
        <v>0</v>
      </c>
      <c r="M10" s="32" t="n">
        <f aca="false">'✏️ SME Input'!P11</f>
        <v>0</v>
      </c>
      <c r="N10" s="17" t="n">
        <f aca="false">'✏️ SME Input'!Q11</f>
        <v>0</v>
      </c>
      <c r="O10" s="33" t="n">
        <f aca="false">'✏️ SME Input'!R11</f>
        <v>0</v>
      </c>
      <c r="P10" s="33" t="n">
        <f aca="false">'✏️ SME Input'!S11</f>
        <v>0</v>
      </c>
      <c r="Q10" s="32" t="n">
        <f aca="false">'✏️ SME Input'!F11</f>
        <v>0</v>
      </c>
      <c r="R10" s="34" t="n">
        <f aca="false">IF(B10="",0,((D10/100)*'⚙️ Rate Card'!C7+F10*'⚙️ Rate Card'!C9+G10*'⚙️ Rate Card'!C10+H10*'⚙️ Rate Card'!C11+I10*'⚙️ Rate Card'!C12+J10*'⚙️ Rate Card'!C13+K10*'⚙️ Rate Card'!C14+(D10/100)*'⚙️ Rate Card'!C8+L10*IF(OR(O10="N/A",O10="None",O10=""),0,IF(O10="High",'⚙️ Rate Card'!C20,IF(O10="Medium",'⚙️ Rate Card'!C19,'⚙️ Rate Card'!C18)))+M10*IF(OR(P10="Decommission",P10=""),'⚙️ Rate Card'!C29,IF(P10="EC2 (Lift &amp; Shift)",'⚙️ Rate Card'!C25,IF(P10="AWS QuickSight",'⚙️ Rate Card'!C27,IF(P10="Power BI",'⚙️ Rate Card'!C28,IF(P10="Custom Reporting Solution",'⚙️ Rate Card'!C26,0)))))+IF(B10="",0,'⚙️ Rate Card'!C33+(D10/100)*'⚙️ Rate Card'!C34))*'⚙️ Rate Card'!C37+(D10/100)*'⚙️ Rate Card'!C7+F10*'⚙️ Rate Card'!C9+G10*'⚙️ Rate Card'!C10+H10*'⚙️ Rate Card'!C11+I10*'⚙️ Rate Card'!C12+J10*'⚙️ Rate Card'!C13+K10*'⚙️ Rate Card'!C14+(D10/100)*'⚙️ Rate Card'!C8+(D10/100)*'⚙️ Rate Card'!C8+L10*IF(OR(O10="N/A",O10="None",O10=""),0,IF(O10="High",'⚙️ Rate Card'!C20,IF(O10="Medium",'⚙️ Rate Card'!C19,'⚙️ Rate Card'!C18)))+M10*IF(OR(P10="Decommission",P10=""),'⚙️ Rate Card'!C29,IF(P10="EC2 (Lift &amp; Shift)",'⚙️ Rate Card'!C25,IF(P10="AWS QuickSight",'⚙️ Rate Card'!C27,IF(P10="Power BI",'⚙️ Rate Card'!C28,IF(P10="Custom Reporting Solution",'⚙️ Rate Card'!C26,0)))))+IF(B10="",0,'⚙️ Rate Card'!C33+(D10/100)*'⚙️ Rate Card'!C34)+((D10/100)*'⚙️ Rate Card'!C7+F10*'⚙️ Rate Card'!C9+G10*'⚙️ Rate Card'!C10+H10*'⚙️ Rate Card'!C11+I10*'⚙️ Rate Card'!C12+J10*'⚙️ Rate Card'!C13+K10*'⚙️ Rate Card'!C14+(D10/100)*'⚙️ Rate Card'!C8+L10*IF(OR(O10="N/A",O10="None",O10=""),0,IF(O10="High",'⚙️ Rate Card'!C20,IF(O10="Medium",'⚙️ Rate Card'!C19,'⚙️ Rate Card'!C18)))+M10*IF(OR(P10="Decommission",P10=""),'⚙️ Rate Card'!C29,IF(P10="EC2 (Lift &amp; Shift)",'⚙️ Rate Card'!C25,IF(P10="AWS QuickSight",'⚙️ Rate Card'!C27,IF(P10="Power BI",'⚙️ Rate Card'!C28,IF(P10="Custom Reporting Solution",'⚙️ Rate Card'!C26,0)))))+IF(B10="",0,'⚙️ Rate Card'!C33+(D10/100)*'⚙️ Rate Card'!C34))*'⚙️ Rate Card'!C35+((D10/100)*'⚙️ Rate Card'!C7+F10*'⚙️ Rate Card'!C9+G10*'⚙️ Rate Card'!C10+H10*'⚙️ Rate Card'!C11+I10*'⚙️ Rate Card'!C12+J10*'⚙️ Rate Card'!C13+K10*'⚙️ Rate Card'!C14+(D10/100)*'⚙️ Rate Card'!C8+L10*IF(OR(O10="N/A",O10="None",O10=""),0,IF(O10="High",'⚙️ Rate Card'!C20,IF(O10="Medium",'⚙️ Rate Card'!C19,'⚙️ Rate Card'!C18)))+M10*IF(OR(P10="Decommission",P10=""),'⚙️ Rate Card'!C29,IF(P10="EC2 (Lift &amp; Shift)",'⚙️ Rate Card'!C25,IF(P10="AWS QuickSight",'⚙️ Rate Card'!C27,IF(P10="Power BI",'⚙️ Rate Card'!C28,IF(P10="Custom Reporting Solution",'⚙️ Rate Card'!C26,0)))))+IF(B10="",0,'⚙️ Rate Card'!C33+(D10/100)*'⚙️ Rate Card'!C34))*'⚙️ Rate Card'!C36)</f>
        <v>0</v>
      </c>
      <c r="S10" s="34" t="n">
        <f aca="false">IF(B10="",0,(((D10/100)*'⚙️ Rate Card'!C7+F10*'⚙️ Rate Card'!C9+G10*'⚙️ Rate Card'!C10+H10*'⚙️ Rate Card'!C11+I10*'⚙️ Rate Card'!C12+J10*'⚙️ Rate Card'!C13+K10*'⚙️ Rate Card'!C14+(D10/100)*'⚙️ Rate Card'!C8+L10*IF(OR(O10="N/A",O10="None",O10=""),0,IF(O10="High",'⚙️ Rate Card'!C20,IF(O10="Medium",'⚙️ Rate Card'!C19,'⚙️ Rate Card'!C18)))+M10*IF(OR(P10="Decommission",P10=""),'⚙️ Rate Card'!C29,IF(P10="EC2 (Lift &amp; Shift)",'⚙️ Rate Card'!C25,IF(P10="AWS QuickSight",'⚙️ Rate Card'!C27,IF(P10="Power BI",'⚙️ Rate Card'!C28,IF(P10="Custom Reporting Solution",'⚙️ Rate Card'!C26,0)))))+IF(B10="",0,'⚙️ Rate Card'!C33+(D10/100)*'⚙️ Rate Card'!C34))*'⚙️ Rate Card'!C37)*(1-'📊 Dashboard'!C10/100)+(((D10/100)*'⚙️ Rate Card'!C7+F10*'⚙️ Rate Card'!C9+G10*'⚙️ Rate Card'!C10+H10*'⚙️ Rate Card'!C11+I10*'⚙️ Rate Card'!C12+J10*'⚙️ Rate Card'!C13+K10*'⚙️ Rate Card'!C14+(D10/100)*'⚙️ Rate Card'!C8+(D10/100)*'⚙️ Rate Card'!C8))*(1-'📊 Dashboard'!C10/100)+(L10*IF(OR(O10="N/A",O10="None",O10=""),0,IF(O10="High",'⚙️ Rate Card'!C20,IF(O10="Medium",'⚙️ Rate Card'!C19,'⚙️ Rate Card'!C18))))*(1-'📊 Dashboard'!C11/100)+(M10*IF(OR(P10="Decommission",P10=""),'⚙️ Rate Card'!C29,IF(P10="EC2 (Lift &amp; Shift)",'⚙️ Rate Card'!C25,IF(P10="AWS QuickSight",'⚙️ Rate Card'!C27,IF(P10="Power BI",'⚙️ Rate Card'!C28,IF(P10="Custom Reporting Solution",'⚙️ Rate Card'!C26,0))))))*(1-'📊 Dashboard'!C12/100)+(IF(B10="",0,'⚙️ Rate Card'!C33+(D10/100)*'⚙️ Rate Card'!C34))*(1-'📊 Dashboard'!C10/100)+(((D10/100)*'⚙️ Rate Card'!C7+F10*'⚙️ Rate Card'!C9+G10*'⚙️ Rate Card'!C10+H10*'⚙️ Rate Card'!C11+I10*'⚙️ Rate Card'!C12+J10*'⚙️ Rate Card'!C13+K10*'⚙️ Rate Card'!C14+(D10/100)*'⚙️ Rate Card'!C8+L10*IF(OR(O10="N/A",O10="None",O10=""),0,IF(O10="High",'⚙️ Rate Card'!C20,IF(O10="Medium",'⚙️ Rate Card'!C19,'⚙️ Rate Card'!C18)))+M10*IF(OR(P10="Decommission",P10=""),'⚙️ Rate Card'!C29,IF(P10="EC2 (Lift &amp; Shift)",'⚙️ Rate Card'!C25,IF(P10="AWS QuickSight",'⚙️ Rate Card'!C27,IF(P10="Power BI",'⚙️ Rate Card'!C28,IF(P10="Custom Reporting Solution",'⚙️ Rate Card'!C26,0)))))+IF(B10="",0,'⚙️ Rate Card'!C33+(D10/100)*'⚙️ Rate Card'!C34))*'⚙️ Rate Card'!C35)*(1-'📊 Dashboard'!C13/100)+(((D10/100)*'⚙️ Rate Card'!C7+F10*'⚙️ Rate Card'!C9+G10*'⚙️ Rate Card'!C10+H10*'⚙️ Rate Card'!C11+I10*'⚙️ Rate Card'!C12+J10*'⚙️ Rate Card'!C13+K10*'⚙️ Rate Card'!C14+(D10/100)*'⚙️ Rate Card'!C8+L10*IF(OR(O10="N/A",O10="None",O10=""),0,IF(O10="High",'⚙️ Rate Card'!C20,IF(O10="Medium",'⚙️ Rate Card'!C19,'⚙️ Rate Card'!C18)))+M10*IF(OR(P10="Decommission",P10=""),'⚙️ Rate Card'!C29,IF(P10="EC2 (Lift &amp; Shift)",'⚙️ Rate Card'!C25,IF(P10="AWS QuickSight",'⚙️ Rate Card'!C27,IF(P10="Power BI",'⚙️ Rate Card'!C28,IF(P10="Custom Reporting Solution",'⚙️ Rate Card'!C26,0)))))+IF(B10="",0,'⚙️ Rate Card'!C33+(D10/100)*'⚙️ Rate Card'!C34))*'⚙️ Rate Card'!C36)*(1-'📊 Dashboard'!C10/100))</f>
        <v>0</v>
      </c>
      <c r="T10" s="35" t="n">
        <f aca="false">IF(B10="",0,S10*(1+'📊 Dashboard'!C14/100))</f>
        <v>0</v>
      </c>
      <c r="U10" s="36" t="n">
        <f aca="false">IF(B10="",0,((D10/100)*'⚙️ Rate Card'!C7+F10*'⚙️ Rate Card'!C9+G10*'⚙️ Rate Card'!C10+H10*'⚙️ Rate Card'!C11+I10*'⚙️ Rate Card'!C12+J10*'⚙️ Rate Card'!C13+K10*'⚙️ Rate Card'!C14+(D10/100)*'⚙️ Rate Card'!C8+L10*IF(OR(O10="N/A",O10="None",O10=""),0,IF(O10="High",'⚙️ Rate Card'!C20,IF(O10="Medium",'⚙️ Rate Card'!C19,'⚙️ Rate Card'!C18)))+M10*IF(OR(P10="Decommission",P10=""),'⚙️ Rate Card'!C29,IF(P10="EC2 (Lift &amp; Shift)",'⚙️ Rate Card'!C25,IF(P10="AWS QuickSight",'⚙️ Rate Card'!C27,IF(P10="Power BI",'⚙️ Rate Card'!C28,IF(P10="Custom Reporting Solution",'⚙️ Rate Card'!C26,0)))))+IF(B10="",0,'⚙️ Rate Card'!C33+(D10/100)*'⚙️ Rate Card'!C34))*'⚙️ Rate Card'!C37)</f>
        <v>0</v>
      </c>
      <c r="V10" s="36" t="n">
        <f aca="false">IF(B10="",0,(D10/100)*'⚙️ Rate Card'!C7+F10*'⚙️ Rate Card'!C9+G10*'⚙️ Rate Card'!C10+H10*'⚙️ Rate Card'!C11+I10*'⚙️ Rate Card'!C12+J10*'⚙️ Rate Card'!C13+K10*'⚙️ Rate Card'!C14+(D10/100)*'⚙️ Rate Card'!C8+(D10/100)*'⚙️ Rate Card'!C8)</f>
        <v>0</v>
      </c>
      <c r="W10" s="36" t="n">
        <f aca="false">IF(B10="",0,L10*IF(OR(O10="N/A",O10="None",O10=""),0,IF(O10="High",'⚙️ Rate Card'!C20,IF(O10="Medium",'⚙️ Rate Card'!C19,'⚙️ Rate Card'!C18))))</f>
        <v>0</v>
      </c>
      <c r="X10" s="36" t="n">
        <f aca="false">IF(B10="",0,M10*IF(OR(P10="Decommission",P10=""),'⚙️ Rate Card'!C29,IF(P10="EC2 (Lift &amp; Shift)",'⚙️ Rate Card'!C25,IF(P10="AWS QuickSight",'⚙️ Rate Card'!C27,IF(P10="Power BI",'⚙️ Rate Card'!C28,IF(P10="Custom Reporting Solution",'⚙️ Rate Card'!C26,0))))))</f>
        <v>0</v>
      </c>
      <c r="Y10" s="36" t="n">
        <f aca="false">IF(B10="",0,IF(B10="",0,'⚙️ Rate Card'!C33+(D10/100)*'⚙️ Rate Card'!C34))</f>
        <v>0</v>
      </c>
      <c r="Z10" s="36" t="n">
        <f aca="false">IF(B10="",0,((D10/100)*'⚙️ Rate Card'!C7+F10*'⚙️ Rate Card'!C9+G10*'⚙️ Rate Card'!C10+H10*'⚙️ Rate Card'!C11+I10*'⚙️ Rate Card'!C12+J10*'⚙️ Rate Card'!C13+K10*'⚙️ Rate Card'!C14+(D10/100)*'⚙️ Rate Card'!C8+L10*IF(OR(O10="N/A",O10="None",O10=""),0,IF(O10="High",'⚙️ Rate Card'!C20,IF(O10="Medium",'⚙️ Rate Card'!C19,'⚙️ Rate Card'!C18)))+M10*IF(OR(P10="Decommission",P10=""),'⚙️ Rate Card'!C29,IF(P10="EC2 (Lift &amp; Shift)",'⚙️ Rate Card'!C25,IF(P10="AWS QuickSight",'⚙️ Rate Card'!C27,IF(P10="Power BI",'⚙️ Rate Card'!C28,IF(P10="Custom Reporting Solution",'⚙️ Rate Card'!C26,0)))))+IF(B10="",0,'⚙️ Rate Card'!C33+(D10/100)*'⚙️ Rate Card'!C34))*'⚙️ Rate Card'!C35)</f>
        <v>0</v>
      </c>
      <c r="AA10" s="36" t="n">
        <f aca="false">IF(B10="",0,((D10/100)*'⚙️ Rate Card'!C7+F10*'⚙️ Rate Card'!C9+G10*'⚙️ Rate Card'!C10+H10*'⚙️ Rate Card'!C11+I10*'⚙️ Rate Card'!C12+J10*'⚙️ Rate Card'!C13+K10*'⚙️ Rate Card'!C14+(D10/100)*'⚙️ Rate Card'!C8+L10*IF(OR(O10="N/A",O10="None",O10=""),0,IF(O10="High",'⚙️ Rate Card'!C20,IF(O10="Medium",'⚙️ Rate Card'!C19,'⚙️ Rate Card'!C18)))+M10*IF(OR(P10="Decommission",P10=""),'⚙️ Rate Card'!C29,IF(P10="EC2 (Lift &amp; Shift)",'⚙️ Rate Card'!C25,IF(P10="AWS QuickSight",'⚙️ Rate Card'!C27,IF(P10="Power BI",'⚙️ Rate Card'!C28,IF(P10="Custom Reporting Solution",'⚙️ Rate Card'!C26,0)))))+IF(B10="",0,'⚙️ Rate Card'!C33+(D10/100)*'⚙️ Rate Card'!C34))*'⚙️ Rate Card'!C36)</f>
        <v>0</v>
      </c>
      <c r="AB10" s="37" t="n">
        <f aca="false">'✏️ SME Input'!T11</f>
        <v>0</v>
      </c>
      <c r="AC10" s="36" t="n">
        <f aca="false">IF(B10="",0,AB10*0.75)</f>
        <v>0</v>
      </c>
      <c r="AD10" s="36" t="n">
        <f aca="false">IF(B10="",0,AB10*0.75)</f>
        <v>0</v>
      </c>
      <c r="AE10" s="36" t="n">
        <f aca="false">IF(B10="",0,AB10*0.75)</f>
        <v>0</v>
      </c>
      <c r="AF10" s="36" t="n">
        <f aca="false">IF(B10="",0,AB10*2.25)</f>
        <v>0</v>
      </c>
      <c r="AG10" s="36" t="n">
        <f aca="false">IF(B10="",0,((D10/100)*'⚙️ Rate Card'!C7+F10*'⚙️ Rate Card'!C9+G10*'⚙️ Rate Card'!C10+H10*'⚙️ Rate Card'!C11+I10*'⚙️ Rate Card'!C12+J10*'⚙️ Rate Card'!C13+K10*'⚙️ Rate Card'!C14+(D10/100)*'⚙️ Rate Card'!C8)*0.4)</f>
        <v>0</v>
      </c>
      <c r="AH10" s="36" t="n">
        <f aca="false">IF(B10="",0,((D10/100)*'⚙️ Rate Card'!C7+F10*'⚙️ Rate Card'!C9+G10*'⚙️ Rate Card'!C10+H10*'⚙️ Rate Card'!C11+I10*'⚙️ Rate Card'!C12+J10*'⚙️ Rate Card'!C13+K10*'⚙️ Rate Card'!C14+(D10/100)*'⚙️ Rate Card'!C8)*0.4)</f>
        <v>0</v>
      </c>
      <c r="AI10" s="36" t="n">
        <f aca="false">IF(B10="",0,((D10/100)*'⚙️ Rate Card'!C7+F10*'⚙️ Rate Card'!C9+G10*'⚙️ Rate Card'!C10+H10*'⚙️ Rate Card'!C11+I10*'⚙️ Rate Card'!C12+J10*'⚙️ Rate Card'!C13+K10*'⚙️ Rate Card'!C14+(D10/100)*'⚙️ Rate Card'!C8)*0.2)</f>
        <v>0</v>
      </c>
      <c r="AJ10" s="36" t="n">
        <f aca="false">IF(B10="",0,(L10*IF(OR(O10="N/A",O10="None",O10=""),0,IF(O10="High",'⚙️ Rate Card'!C20,IF(O10="Medium",'⚙️ Rate Card'!C19,'⚙️ Rate Card'!C18))))*0.5)</f>
        <v>0</v>
      </c>
      <c r="AK10" s="36" t="n">
        <f aca="false">IF(B10="",0,(L10*IF(OR(O10="N/A",O10="None",O10=""),0,IF(O10="High",'⚙️ Rate Card'!C20,IF(O10="Medium",'⚙️ Rate Card'!C19,'⚙️ Rate Card'!C18))))*0.35)</f>
        <v>0</v>
      </c>
      <c r="AL10" s="36" t="n">
        <f aca="false">IF(B10="",0,(L10*IF(OR(O10="N/A",O10="None",O10=""),0,IF(O10="High",'⚙️ Rate Card'!C20,IF(O10="Medium",'⚙️ Rate Card'!C19,'⚙️ Rate Card'!C18))))*0.15)</f>
        <v>0</v>
      </c>
      <c r="AM10" s="35" t="n">
        <f aca="false">IF(B10="",0,AG10+AJ10+(M10*IF(OR(P10="Decommission",P10=""),'⚙️ Rate Card'!C29,IF(P10="EC2 (Lift &amp; Shift)",'⚙️ Rate Card'!C25,IF(P10="AWS QuickSight",'⚙️ Rate Card'!C27,IF(P10="Power BI",'⚙️ Rate Card'!C28,IF(P10="Custom Reporting Solution",'⚙️ Rate Card'!C26,0))))))*0.4+(IF(B10="",0,'⚙️ Rate Card'!C33+(D10/100)*'⚙️ Rate Card'!C34))*0.4+AC10+(((D10/100)*'⚙️ Rate Card'!C7+F10*'⚙️ Rate Card'!C9+G10*'⚙️ Rate Card'!C10+H10*'⚙️ Rate Card'!C11+I10*'⚙️ Rate Card'!C12+J10*'⚙️ Rate Card'!C13+K10*'⚙️ Rate Card'!C14+(D10/100)*'⚙️ Rate Card'!C8+L10*IF(OR(O10="N/A",O10="None",O10=""),0,IF(O10="High",'⚙️ Rate Card'!C20,IF(O10="Medium",'⚙️ Rate Card'!C19,'⚙️ Rate Card'!C18)))+M10*IF(OR(P10="Decommission",P10=""),'⚙️ Rate Card'!C29,IF(P10="EC2 (Lift &amp; Shift)",'⚙️ Rate Card'!C25,IF(P10="AWS QuickSight",'⚙️ Rate Card'!C27,IF(P10="Power BI",'⚙️ Rate Card'!C28,IF(P10="Custom Reporting Solution",'⚙️ Rate Card'!C26,0)))))+IF(B10="",0,'⚙️ Rate Card'!C33+(D10/100)*'⚙️ Rate Card'!C34)))*'⚙️ Rate Card'!C35*0.4+(((D10/100)*'⚙️ Rate Card'!C7+F10*'⚙️ Rate Card'!C9+G10*'⚙️ Rate Card'!C10+H10*'⚙️ Rate Card'!C11+I10*'⚙️ Rate Card'!C12+J10*'⚙️ Rate Card'!C13+K10*'⚙️ Rate Card'!C14+(D10/100)*'⚙️ Rate Card'!C8+L10*IF(OR(O10="N/A",O10="None",O10=""),0,IF(O10="High",'⚙️ Rate Card'!C20,IF(O10="Medium",'⚙️ Rate Card'!C19,'⚙️ Rate Card'!C18)))+M10*IF(OR(P10="Decommission",P10=""),'⚙️ Rate Card'!C29,IF(P10="EC2 (Lift &amp; Shift)",'⚙️ Rate Card'!C25,IF(P10="AWS QuickSight",'⚙️ Rate Card'!C27,IF(P10="Power BI",'⚙️ Rate Card'!C28,IF(P10="Custom Reporting Solution",'⚙️ Rate Card'!C26,0)))))+IF(B10="",0,'⚙️ Rate Card'!C33+(D10/100)*'⚙️ Rate Card'!C34)))*'⚙️ Rate Card'!C36*0.4+(((D10/100)*'⚙️ Rate Card'!C7+F10*'⚙️ Rate Card'!C9+G10*'⚙️ Rate Card'!C10+H10*'⚙️ Rate Card'!C11+I10*'⚙️ Rate Card'!C12+J10*'⚙️ Rate Card'!C13+K10*'⚙️ Rate Card'!C14+(D10/100)*'⚙️ Rate Card'!C8+L10*IF(OR(O10="N/A",O10="None",O10=""),0,IF(O10="High",'⚙️ Rate Card'!C20,IF(O10="Medium",'⚙️ Rate Card'!C19,'⚙️ Rate Card'!C18)))+M10*IF(OR(P10="Decommission",P10=""),'⚙️ Rate Card'!C29,IF(P10="EC2 (Lift &amp; Shift)",'⚙️ Rate Card'!C25,IF(P10="AWS QuickSight",'⚙️ Rate Card'!C27,IF(P10="Power BI",'⚙️ Rate Card'!C28,IF(P10="Custom Reporting Solution",'⚙️ Rate Card'!C26,0)))))+IF(B10="",0,'⚙️ Rate Card'!C33+(D10/100)*'⚙️ Rate Card'!C34)))*'⚙️ Rate Card'!C37*0.4)</f>
        <v>0</v>
      </c>
      <c r="AN10" s="38" t="n">
        <f aca="false">IF(B10="",0,AH10+AK10+(M10*IF(OR(P10="Decommission",P10=""),'⚙️ Rate Card'!C29,IF(P10="EC2 (Lift &amp; Shift)",'⚙️ Rate Card'!C25,IF(P10="AWS QuickSight",'⚙️ Rate Card'!C27,IF(P10="Power BI",'⚙️ Rate Card'!C28,IF(P10="Custom Reporting Solution",'⚙️ Rate Card'!C26,0))))))*0.4+(IF(B10="",0,'⚙️ Rate Card'!C33+(D10/100)*'⚙️ Rate Card'!C34))*0.4+AD10+(((D10/100)*'⚙️ Rate Card'!C7+F10*'⚙️ Rate Card'!C9+G10*'⚙️ Rate Card'!C10+H10*'⚙️ Rate Card'!C11+I10*'⚙️ Rate Card'!C12+J10*'⚙️ Rate Card'!C13+K10*'⚙️ Rate Card'!C14+(D10/100)*'⚙️ Rate Card'!C8+L10*IF(OR(O10="N/A",O10="None",O10=""),0,IF(O10="High",'⚙️ Rate Card'!C20,IF(O10="Medium",'⚙️ Rate Card'!C19,'⚙️ Rate Card'!C18)))+M10*IF(OR(P10="Decommission",P10=""),'⚙️ Rate Card'!C29,IF(P10="EC2 (Lift &amp; Shift)",'⚙️ Rate Card'!C25,IF(P10="AWS QuickSight",'⚙️ Rate Card'!C27,IF(P10="Power BI",'⚙️ Rate Card'!C28,IF(P10="Custom Reporting Solution",'⚙️ Rate Card'!C26,0)))))+IF(B10="",0,'⚙️ Rate Card'!C33+(D10/100)*'⚙️ Rate Card'!C34)))*'⚙️ Rate Card'!C35*0.4+(((D10/100)*'⚙️ Rate Card'!C7+F10*'⚙️ Rate Card'!C9+G10*'⚙️ Rate Card'!C10+H10*'⚙️ Rate Card'!C11+I10*'⚙️ Rate Card'!C12+J10*'⚙️ Rate Card'!C13+K10*'⚙️ Rate Card'!C14+(D10/100)*'⚙️ Rate Card'!C8+L10*IF(OR(O10="N/A",O10="None",O10=""),0,IF(O10="High",'⚙️ Rate Card'!C20,IF(O10="Medium",'⚙️ Rate Card'!C19,'⚙️ Rate Card'!C18)))+M10*IF(OR(P10="Decommission",P10=""),'⚙️ Rate Card'!C29,IF(P10="EC2 (Lift &amp; Shift)",'⚙️ Rate Card'!C25,IF(P10="AWS QuickSight",'⚙️ Rate Card'!C27,IF(P10="Power BI",'⚙️ Rate Card'!C28,IF(P10="Custom Reporting Solution",'⚙️ Rate Card'!C26,0)))))+IF(B10="",0,'⚙️ Rate Card'!C33+(D10/100)*'⚙️ Rate Card'!C34)))*'⚙️ Rate Card'!C36*0.4+(((D10/100)*'⚙️ Rate Card'!C7+F10*'⚙️ Rate Card'!C9+G10*'⚙️ Rate Card'!C10+H10*'⚙️ Rate Card'!C11+I10*'⚙️ Rate Card'!C12+J10*'⚙️ Rate Card'!C13+K10*'⚙️ Rate Card'!C14+(D10/100)*'⚙️ Rate Card'!C8+L10*IF(OR(O10="N/A",O10="None",O10=""),0,IF(O10="High",'⚙️ Rate Card'!C20,IF(O10="Medium",'⚙️ Rate Card'!C19,'⚙️ Rate Card'!C18)))+M10*IF(OR(P10="Decommission",P10=""),'⚙️ Rate Card'!C29,IF(P10="EC2 (Lift &amp; Shift)",'⚙️ Rate Card'!C25,IF(P10="AWS QuickSight",'⚙️ Rate Card'!C27,IF(P10="Power BI",'⚙️ Rate Card'!C28,IF(P10="Custom Reporting Solution",'⚙️ Rate Card'!C26,0)))))+IF(B10="",0,'⚙️ Rate Card'!C33+(D10/100)*'⚙️ Rate Card'!C34)))*'⚙️ Rate Card'!C37*0.4)</f>
        <v>0</v>
      </c>
      <c r="AO10" s="39" t="n">
        <f aca="false">IF(B10="",0,AI10+AL10+(M10*IF(OR(P10="Decommission",P10=""),'⚙️ Rate Card'!C29,IF(P10="EC2 (Lift &amp; Shift)",'⚙️ Rate Card'!C25,IF(P10="AWS QuickSight",'⚙️ Rate Card'!C27,IF(P10="Power BI",'⚙️ Rate Card'!C28,IF(P10="Custom Reporting Solution",'⚙️ Rate Card'!C26,0))))))*0.2+(IF(B10="",0,'⚙️ Rate Card'!C33+(D10/100)*'⚙️ Rate Card'!C34))*0.2+AE10+(((D10/100)*'⚙️ Rate Card'!C7+F10*'⚙️ Rate Card'!C9+G10*'⚙️ Rate Card'!C10+H10*'⚙️ Rate Card'!C11+I10*'⚙️ Rate Card'!C12+J10*'⚙️ Rate Card'!C13+K10*'⚙️ Rate Card'!C14+(D10/100)*'⚙️ Rate Card'!C8+L10*IF(OR(O10="N/A",O10="None",O10=""),0,IF(O10="High",'⚙️ Rate Card'!C20,IF(O10="Medium",'⚙️ Rate Card'!C19,'⚙️ Rate Card'!C18)))+M10*IF(OR(P10="Decommission",P10=""),'⚙️ Rate Card'!C29,IF(P10="EC2 (Lift &amp; Shift)",'⚙️ Rate Card'!C25,IF(P10="AWS QuickSight",'⚙️ Rate Card'!C27,IF(P10="Power BI",'⚙️ Rate Card'!C28,IF(P10="Custom Reporting Solution",'⚙️ Rate Card'!C26,0)))))+IF(B10="",0,'⚙️ Rate Card'!C33+(D10/100)*'⚙️ Rate Card'!C34)))*'⚙️ Rate Card'!C35*0.2+(((D10/100)*'⚙️ Rate Card'!C7+F10*'⚙️ Rate Card'!C9+G10*'⚙️ Rate Card'!C10+H10*'⚙️ Rate Card'!C11+I10*'⚙️ Rate Card'!C12+J10*'⚙️ Rate Card'!C13+K10*'⚙️ Rate Card'!C14+(D10/100)*'⚙️ Rate Card'!C8+L10*IF(OR(O10="N/A",O10="None",O10=""),0,IF(O10="High",'⚙️ Rate Card'!C20,IF(O10="Medium",'⚙️ Rate Card'!C19,'⚙️ Rate Card'!C18)))+M10*IF(OR(P10="Decommission",P10=""),'⚙️ Rate Card'!C29,IF(P10="EC2 (Lift &amp; Shift)",'⚙️ Rate Card'!C25,IF(P10="AWS QuickSight",'⚙️ Rate Card'!C27,IF(P10="Power BI",'⚙️ Rate Card'!C28,IF(P10="Custom Reporting Solution",'⚙️ Rate Card'!C26,0)))))+IF(B10="",0,'⚙️ Rate Card'!C33+(D10/100)*'⚙️ Rate Card'!C34)))*'⚙️ Rate Card'!C36*0.2+(((D10/100)*'⚙️ Rate Card'!C7+F10*'⚙️ Rate Card'!C9+G10*'⚙️ Rate Card'!C10+H10*'⚙️ Rate Card'!C11+I10*'⚙️ Rate Card'!C12+J10*'⚙️ Rate Card'!C13+K10*'⚙️ Rate Card'!C14+(D10/100)*'⚙️ Rate Card'!C8+L10*IF(OR(O10="N/A",O10="None",O10=""),0,IF(O10="High",'⚙️ Rate Card'!C20,IF(O10="Medium",'⚙️ Rate Card'!C19,'⚙️ Rate Card'!C18)))+M10*IF(OR(P10="Decommission",P10=""),'⚙️ Rate Card'!C29,IF(P10="EC2 (Lift &amp; Shift)",'⚙️ Rate Card'!C25,IF(P10="AWS QuickSight",'⚙️ Rate Card'!C27,IF(P10="Power BI",'⚙️ Rate Card'!C28,IF(P10="Custom Reporting Solution",'⚙️ Rate Card'!C26,0)))))+IF(B10="",0,'⚙️ Rate Card'!C33+(D10/100)*'⚙️ Rate Card'!C34)))*'⚙️ Rate Card'!C37*0.2)</f>
        <v>0</v>
      </c>
      <c r="AP10" s="37" t="n">
        <f aca="false">'✏️ SME Input'!B11</f>
        <v>0</v>
      </c>
      <c r="AQ10" s="37" t="n">
        <f aca="false">'✏️ SME Input'!C11</f>
        <v>0</v>
      </c>
      <c r="AR10" s="37" t="n">
        <f aca="false">'✏️ SME Input'!D11</f>
        <v>0</v>
      </c>
    </row>
    <row r="11" customFormat="false" ht="18" hidden="false" customHeight="true" outlineLevel="0" collapsed="false">
      <c r="B11" s="40" t="n">
        <f aca="false">'✏️ SME Input'!E12</f>
        <v>0</v>
      </c>
      <c r="C11" s="31" t="str">
        <f aca="false">IF(B11="","",IF(D11&gt;1000,"T3 Complex",IF(D11&gt;500,"T2 Moderate","T1 Simple")))</f>
        <v/>
      </c>
      <c r="D11" s="32" t="n">
        <f aca="false">'✏️ SME Input'!G12</f>
        <v>0</v>
      </c>
      <c r="E11" s="32" t="n">
        <f aca="false">'✏️ SME Input'!H12</f>
        <v>0</v>
      </c>
      <c r="F11" s="32" t="n">
        <f aca="false">'✏️ SME Input'!I12</f>
        <v>0</v>
      </c>
      <c r="G11" s="32" t="n">
        <f aca="false">'✏️ SME Input'!J12</f>
        <v>0</v>
      </c>
      <c r="H11" s="32" t="n">
        <f aca="false">'✏️ SME Input'!K12</f>
        <v>0</v>
      </c>
      <c r="I11" s="32" t="n">
        <f aca="false">'✏️ SME Input'!L12</f>
        <v>0</v>
      </c>
      <c r="J11" s="32" t="n">
        <f aca="false">'✏️ SME Input'!M12</f>
        <v>0</v>
      </c>
      <c r="K11" s="32" t="n">
        <f aca="false">'✏️ SME Input'!N12</f>
        <v>0</v>
      </c>
      <c r="L11" s="32" t="n">
        <f aca="false">'✏️ SME Input'!O12</f>
        <v>0</v>
      </c>
      <c r="M11" s="32" t="n">
        <f aca="false">'✏️ SME Input'!P12</f>
        <v>0</v>
      </c>
      <c r="N11" s="17" t="n">
        <f aca="false">'✏️ SME Input'!Q12</f>
        <v>0</v>
      </c>
      <c r="O11" s="33" t="n">
        <f aca="false">'✏️ SME Input'!R12</f>
        <v>0</v>
      </c>
      <c r="P11" s="33" t="n">
        <f aca="false">'✏️ SME Input'!S12</f>
        <v>0</v>
      </c>
      <c r="Q11" s="32" t="n">
        <f aca="false">'✏️ SME Input'!F12</f>
        <v>0</v>
      </c>
      <c r="R11" s="34" t="n">
        <f aca="false">IF(B11="",0,((D11/100)*'⚙️ Rate Card'!C7+F11*'⚙️ Rate Card'!C9+G11*'⚙️ Rate Card'!C10+H11*'⚙️ Rate Card'!C11+I11*'⚙️ Rate Card'!C12+J11*'⚙️ Rate Card'!C13+K11*'⚙️ Rate Card'!C14+(D11/100)*'⚙️ Rate Card'!C8+L11*IF(OR(O11="N/A",O11="None",O11=""),0,IF(O11="High",'⚙️ Rate Card'!C20,IF(O11="Medium",'⚙️ Rate Card'!C19,'⚙️ Rate Card'!C18)))+M11*IF(OR(P11="Decommission",P11=""),'⚙️ Rate Card'!C29,IF(P11="EC2 (Lift &amp; Shift)",'⚙️ Rate Card'!C25,IF(P11="AWS QuickSight",'⚙️ Rate Card'!C27,IF(P11="Power BI",'⚙️ Rate Card'!C28,IF(P11="Custom Reporting Solution",'⚙️ Rate Card'!C26,0)))))+IF(B11="",0,'⚙️ Rate Card'!C33+(D11/100)*'⚙️ Rate Card'!C34))*'⚙️ Rate Card'!C37+(D11/100)*'⚙️ Rate Card'!C7+F11*'⚙️ Rate Card'!C9+G11*'⚙️ Rate Card'!C10+H11*'⚙️ Rate Card'!C11+I11*'⚙️ Rate Card'!C12+J11*'⚙️ Rate Card'!C13+K11*'⚙️ Rate Card'!C14+(D11/100)*'⚙️ Rate Card'!C8+(D11/100)*'⚙️ Rate Card'!C8+L11*IF(OR(O11="N/A",O11="None",O11=""),0,IF(O11="High",'⚙️ Rate Card'!C20,IF(O11="Medium",'⚙️ Rate Card'!C19,'⚙️ Rate Card'!C18)))+M11*IF(OR(P11="Decommission",P11=""),'⚙️ Rate Card'!C29,IF(P11="EC2 (Lift &amp; Shift)",'⚙️ Rate Card'!C25,IF(P11="AWS QuickSight",'⚙️ Rate Card'!C27,IF(P11="Power BI",'⚙️ Rate Card'!C28,IF(P11="Custom Reporting Solution",'⚙️ Rate Card'!C26,0)))))+IF(B11="",0,'⚙️ Rate Card'!C33+(D11/100)*'⚙️ Rate Card'!C34)+((D11/100)*'⚙️ Rate Card'!C7+F11*'⚙️ Rate Card'!C9+G11*'⚙️ Rate Card'!C10+H11*'⚙️ Rate Card'!C11+I11*'⚙️ Rate Card'!C12+J11*'⚙️ Rate Card'!C13+K11*'⚙️ Rate Card'!C14+(D11/100)*'⚙️ Rate Card'!C8+L11*IF(OR(O11="N/A",O11="None",O11=""),0,IF(O11="High",'⚙️ Rate Card'!C20,IF(O11="Medium",'⚙️ Rate Card'!C19,'⚙️ Rate Card'!C18)))+M11*IF(OR(P11="Decommission",P11=""),'⚙️ Rate Card'!C29,IF(P11="EC2 (Lift &amp; Shift)",'⚙️ Rate Card'!C25,IF(P11="AWS QuickSight",'⚙️ Rate Card'!C27,IF(P11="Power BI",'⚙️ Rate Card'!C28,IF(P11="Custom Reporting Solution",'⚙️ Rate Card'!C26,0)))))+IF(B11="",0,'⚙️ Rate Card'!C33+(D11/100)*'⚙️ Rate Card'!C34))*'⚙️ Rate Card'!C35+((D11/100)*'⚙️ Rate Card'!C7+F11*'⚙️ Rate Card'!C9+G11*'⚙️ Rate Card'!C10+H11*'⚙️ Rate Card'!C11+I11*'⚙️ Rate Card'!C12+J11*'⚙️ Rate Card'!C13+K11*'⚙️ Rate Card'!C14+(D11/100)*'⚙️ Rate Card'!C8+L11*IF(OR(O11="N/A",O11="None",O11=""),0,IF(O11="High",'⚙️ Rate Card'!C20,IF(O11="Medium",'⚙️ Rate Card'!C19,'⚙️ Rate Card'!C18)))+M11*IF(OR(P11="Decommission",P11=""),'⚙️ Rate Card'!C29,IF(P11="EC2 (Lift &amp; Shift)",'⚙️ Rate Card'!C25,IF(P11="AWS QuickSight",'⚙️ Rate Card'!C27,IF(P11="Power BI",'⚙️ Rate Card'!C28,IF(P11="Custom Reporting Solution",'⚙️ Rate Card'!C26,0)))))+IF(B11="",0,'⚙️ Rate Card'!C33+(D11/100)*'⚙️ Rate Card'!C34))*'⚙️ Rate Card'!C36)</f>
        <v>0</v>
      </c>
      <c r="S11" s="34" t="n">
        <f aca="false">IF(B11="",0,(((D11/100)*'⚙️ Rate Card'!C7+F11*'⚙️ Rate Card'!C9+G11*'⚙️ Rate Card'!C10+H11*'⚙️ Rate Card'!C11+I11*'⚙️ Rate Card'!C12+J11*'⚙️ Rate Card'!C13+K11*'⚙️ Rate Card'!C14+(D11/100)*'⚙️ Rate Card'!C8+L11*IF(OR(O11="N/A",O11="None",O11=""),0,IF(O11="High",'⚙️ Rate Card'!C20,IF(O11="Medium",'⚙️ Rate Card'!C19,'⚙️ Rate Card'!C18)))+M11*IF(OR(P11="Decommission",P11=""),'⚙️ Rate Card'!C29,IF(P11="EC2 (Lift &amp; Shift)",'⚙️ Rate Card'!C25,IF(P11="AWS QuickSight",'⚙️ Rate Card'!C27,IF(P11="Power BI",'⚙️ Rate Card'!C28,IF(P11="Custom Reporting Solution",'⚙️ Rate Card'!C26,0)))))+IF(B11="",0,'⚙️ Rate Card'!C33+(D11/100)*'⚙️ Rate Card'!C34))*'⚙️ Rate Card'!C37)*(1-'📊 Dashboard'!C10/100)+(((D11/100)*'⚙️ Rate Card'!C7+F11*'⚙️ Rate Card'!C9+G11*'⚙️ Rate Card'!C10+H11*'⚙️ Rate Card'!C11+I11*'⚙️ Rate Card'!C12+J11*'⚙️ Rate Card'!C13+K11*'⚙️ Rate Card'!C14+(D11/100)*'⚙️ Rate Card'!C8+(D11/100)*'⚙️ Rate Card'!C8))*(1-'📊 Dashboard'!C10/100)+(L11*IF(OR(O11="N/A",O11="None",O11=""),0,IF(O11="High",'⚙️ Rate Card'!C20,IF(O11="Medium",'⚙️ Rate Card'!C19,'⚙️ Rate Card'!C18))))*(1-'📊 Dashboard'!C11/100)+(M11*IF(OR(P11="Decommission",P11=""),'⚙️ Rate Card'!C29,IF(P11="EC2 (Lift &amp; Shift)",'⚙️ Rate Card'!C25,IF(P11="AWS QuickSight",'⚙️ Rate Card'!C27,IF(P11="Power BI",'⚙️ Rate Card'!C28,IF(P11="Custom Reporting Solution",'⚙️ Rate Card'!C26,0))))))*(1-'📊 Dashboard'!C12/100)+(IF(B11="",0,'⚙️ Rate Card'!C33+(D11/100)*'⚙️ Rate Card'!C34))*(1-'📊 Dashboard'!C10/100)+(((D11/100)*'⚙️ Rate Card'!C7+F11*'⚙️ Rate Card'!C9+G11*'⚙️ Rate Card'!C10+H11*'⚙️ Rate Card'!C11+I11*'⚙️ Rate Card'!C12+J11*'⚙️ Rate Card'!C13+K11*'⚙️ Rate Card'!C14+(D11/100)*'⚙️ Rate Card'!C8+L11*IF(OR(O11="N/A",O11="None",O11=""),0,IF(O11="High",'⚙️ Rate Card'!C20,IF(O11="Medium",'⚙️ Rate Card'!C19,'⚙️ Rate Card'!C18)))+M11*IF(OR(P11="Decommission",P11=""),'⚙️ Rate Card'!C29,IF(P11="EC2 (Lift &amp; Shift)",'⚙️ Rate Card'!C25,IF(P11="AWS QuickSight",'⚙️ Rate Card'!C27,IF(P11="Power BI",'⚙️ Rate Card'!C28,IF(P11="Custom Reporting Solution",'⚙️ Rate Card'!C26,0)))))+IF(B11="",0,'⚙️ Rate Card'!C33+(D11/100)*'⚙️ Rate Card'!C34))*'⚙️ Rate Card'!C35)*(1-'📊 Dashboard'!C13/100)+(((D11/100)*'⚙️ Rate Card'!C7+F11*'⚙️ Rate Card'!C9+G11*'⚙️ Rate Card'!C10+H11*'⚙️ Rate Card'!C11+I11*'⚙️ Rate Card'!C12+J11*'⚙️ Rate Card'!C13+K11*'⚙️ Rate Card'!C14+(D11/100)*'⚙️ Rate Card'!C8+L11*IF(OR(O11="N/A",O11="None",O11=""),0,IF(O11="High",'⚙️ Rate Card'!C20,IF(O11="Medium",'⚙️ Rate Card'!C19,'⚙️ Rate Card'!C18)))+M11*IF(OR(P11="Decommission",P11=""),'⚙️ Rate Card'!C29,IF(P11="EC2 (Lift &amp; Shift)",'⚙️ Rate Card'!C25,IF(P11="AWS QuickSight",'⚙️ Rate Card'!C27,IF(P11="Power BI",'⚙️ Rate Card'!C28,IF(P11="Custom Reporting Solution",'⚙️ Rate Card'!C26,0)))))+IF(B11="",0,'⚙️ Rate Card'!C33+(D11/100)*'⚙️ Rate Card'!C34))*'⚙️ Rate Card'!C36)*(1-'📊 Dashboard'!C10/100))</f>
        <v>0</v>
      </c>
      <c r="T11" s="35" t="n">
        <f aca="false">IF(B11="",0,S11*(1+'📊 Dashboard'!C14/100))</f>
        <v>0</v>
      </c>
      <c r="U11" s="41" t="n">
        <f aca="false">IF(B11="",0,((D11/100)*'⚙️ Rate Card'!C7+F11*'⚙️ Rate Card'!C9+G11*'⚙️ Rate Card'!C10+H11*'⚙️ Rate Card'!C11+I11*'⚙️ Rate Card'!C12+J11*'⚙️ Rate Card'!C13+K11*'⚙️ Rate Card'!C14+(D11/100)*'⚙️ Rate Card'!C8+L11*IF(OR(O11="N/A",O11="None",O11=""),0,IF(O11="High",'⚙️ Rate Card'!C20,IF(O11="Medium",'⚙️ Rate Card'!C19,'⚙️ Rate Card'!C18)))+M11*IF(OR(P11="Decommission",P11=""),'⚙️ Rate Card'!C29,IF(P11="EC2 (Lift &amp; Shift)",'⚙️ Rate Card'!C25,IF(P11="AWS QuickSight",'⚙️ Rate Card'!C27,IF(P11="Power BI",'⚙️ Rate Card'!C28,IF(P11="Custom Reporting Solution",'⚙️ Rate Card'!C26,0)))))+IF(B11="",0,'⚙️ Rate Card'!C33+(D11/100)*'⚙️ Rate Card'!C34))*'⚙️ Rate Card'!C37)</f>
        <v>0</v>
      </c>
      <c r="V11" s="41" t="n">
        <f aca="false">IF(B11="",0,(D11/100)*'⚙️ Rate Card'!C7+F11*'⚙️ Rate Card'!C9+G11*'⚙️ Rate Card'!C10+H11*'⚙️ Rate Card'!C11+I11*'⚙️ Rate Card'!C12+J11*'⚙️ Rate Card'!C13+K11*'⚙️ Rate Card'!C14+(D11/100)*'⚙️ Rate Card'!C8+(D11/100)*'⚙️ Rate Card'!C8)</f>
        <v>0</v>
      </c>
      <c r="W11" s="41" t="n">
        <f aca="false">IF(B11="",0,L11*IF(OR(O11="N/A",O11="None",O11=""),0,IF(O11="High",'⚙️ Rate Card'!C20,IF(O11="Medium",'⚙️ Rate Card'!C19,'⚙️ Rate Card'!C18))))</f>
        <v>0</v>
      </c>
      <c r="X11" s="41" t="n">
        <f aca="false">IF(B11="",0,M11*IF(OR(P11="Decommission",P11=""),'⚙️ Rate Card'!C29,IF(P11="EC2 (Lift &amp; Shift)",'⚙️ Rate Card'!C25,IF(P11="AWS QuickSight",'⚙️ Rate Card'!C27,IF(P11="Power BI",'⚙️ Rate Card'!C28,IF(P11="Custom Reporting Solution",'⚙️ Rate Card'!C26,0))))))</f>
        <v>0</v>
      </c>
      <c r="Y11" s="41" t="n">
        <f aca="false">IF(B11="",0,IF(B11="",0,'⚙️ Rate Card'!C33+(D11/100)*'⚙️ Rate Card'!C34))</f>
        <v>0</v>
      </c>
      <c r="Z11" s="41" t="n">
        <f aca="false">IF(B11="",0,((D11/100)*'⚙️ Rate Card'!C7+F11*'⚙️ Rate Card'!C9+G11*'⚙️ Rate Card'!C10+H11*'⚙️ Rate Card'!C11+I11*'⚙️ Rate Card'!C12+J11*'⚙️ Rate Card'!C13+K11*'⚙️ Rate Card'!C14+(D11/100)*'⚙️ Rate Card'!C8+L11*IF(OR(O11="N/A",O11="None",O11=""),0,IF(O11="High",'⚙️ Rate Card'!C20,IF(O11="Medium",'⚙️ Rate Card'!C19,'⚙️ Rate Card'!C18)))+M11*IF(OR(P11="Decommission",P11=""),'⚙️ Rate Card'!C29,IF(P11="EC2 (Lift &amp; Shift)",'⚙️ Rate Card'!C25,IF(P11="AWS QuickSight",'⚙️ Rate Card'!C27,IF(P11="Power BI",'⚙️ Rate Card'!C28,IF(P11="Custom Reporting Solution",'⚙️ Rate Card'!C26,0)))))+IF(B11="",0,'⚙️ Rate Card'!C33+(D11/100)*'⚙️ Rate Card'!C34))*'⚙️ Rate Card'!C35)</f>
        <v>0</v>
      </c>
      <c r="AA11" s="41" t="n">
        <f aca="false">IF(B11="",0,((D11/100)*'⚙️ Rate Card'!C7+F11*'⚙️ Rate Card'!C9+G11*'⚙️ Rate Card'!C10+H11*'⚙️ Rate Card'!C11+I11*'⚙️ Rate Card'!C12+J11*'⚙️ Rate Card'!C13+K11*'⚙️ Rate Card'!C14+(D11/100)*'⚙️ Rate Card'!C8+L11*IF(OR(O11="N/A",O11="None",O11=""),0,IF(O11="High",'⚙️ Rate Card'!C20,IF(O11="Medium",'⚙️ Rate Card'!C19,'⚙️ Rate Card'!C18)))+M11*IF(OR(P11="Decommission",P11=""),'⚙️ Rate Card'!C29,IF(P11="EC2 (Lift &amp; Shift)",'⚙️ Rate Card'!C25,IF(P11="AWS QuickSight",'⚙️ Rate Card'!C27,IF(P11="Power BI",'⚙️ Rate Card'!C28,IF(P11="Custom Reporting Solution",'⚙️ Rate Card'!C26,0)))))+IF(B11="",0,'⚙️ Rate Card'!C33+(D11/100)*'⚙️ Rate Card'!C34))*'⚙️ Rate Card'!C36)</f>
        <v>0</v>
      </c>
      <c r="AB11" s="37" t="n">
        <f aca="false">'✏️ SME Input'!T12</f>
        <v>0</v>
      </c>
      <c r="AC11" s="41" t="n">
        <f aca="false">IF(B11="",0,AB11*0.75)</f>
        <v>0</v>
      </c>
      <c r="AD11" s="41" t="n">
        <f aca="false">IF(B11="",0,AB11*0.75)</f>
        <v>0</v>
      </c>
      <c r="AE11" s="41" t="n">
        <f aca="false">IF(B11="",0,AB11*0.75)</f>
        <v>0</v>
      </c>
      <c r="AF11" s="41" t="n">
        <f aca="false">IF(B11="",0,AB11*2.25)</f>
        <v>0</v>
      </c>
      <c r="AG11" s="41" t="n">
        <f aca="false">IF(B11="",0,((D11/100)*'⚙️ Rate Card'!C7+F11*'⚙️ Rate Card'!C9+G11*'⚙️ Rate Card'!C10+H11*'⚙️ Rate Card'!C11+I11*'⚙️ Rate Card'!C12+J11*'⚙️ Rate Card'!C13+K11*'⚙️ Rate Card'!C14+(D11/100)*'⚙️ Rate Card'!C8)*0.4)</f>
        <v>0</v>
      </c>
      <c r="AH11" s="41" t="n">
        <f aca="false">IF(B11="",0,((D11/100)*'⚙️ Rate Card'!C7+F11*'⚙️ Rate Card'!C9+G11*'⚙️ Rate Card'!C10+H11*'⚙️ Rate Card'!C11+I11*'⚙️ Rate Card'!C12+J11*'⚙️ Rate Card'!C13+K11*'⚙️ Rate Card'!C14+(D11/100)*'⚙️ Rate Card'!C8)*0.4)</f>
        <v>0</v>
      </c>
      <c r="AI11" s="41" t="n">
        <f aca="false">IF(B11="",0,((D11/100)*'⚙️ Rate Card'!C7+F11*'⚙️ Rate Card'!C9+G11*'⚙️ Rate Card'!C10+H11*'⚙️ Rate Card'!C11+I11*'⚙️ Rate Card'!C12+J11*'⚙️ Rate Card'!C13+K11*'⚙️ Rate Card'!C14+(D11/100)*'⚙️ Rate Card'!C8)*0.2)</f>
        <v>0</v>
      </c>
      <c r="AJ11" s="41" t="n">
        <f aca="false">IF(B11="",0,(L11*IF(OR(O11="N/A",O11="None",O11=""),0,IF(O11="High",'⚙️ Rate Card'!C20,IF(O11="Medium",'⚙️ Rate Card'!C19,'⚙️ Rate Card'!C18))))*0.5)</f>
        <v>0</v>
      </c>
      <c r="AK11" s="41" t="n">
        <f aca="false">IF(B11="",0,(L11*IF(OR(O11="N/A",O11="None",O11=""),0,IF(O11="High",'⚙️ Rate Card'!C20,IF(O11="Medium",'⚙️ Rate Card'!C19,'⚙️ Rate Card'!C18))))*0.35)</f>
        <v>0</v>
      </c>
      <c r="AL11" s="41" t="n">
        <f aca="false">IF(B11="",0,(L11*IF(OR(O11="N/A",O11="None",O11=""),0,IF(O11="High",'⚙️ Rate Card'!C20,IF(O11="Medium",'⚙️ Rate Card'!C19,'⚙️ Rate Card'!C18))))*0.15)</f>
        <v>0</v>
      </c>
      <c r="AM11" s="35" t="n">
        <f aca="false">IF(B11="",0,AG11+AJ11+(M11*IF(OR(P11="Decommission",P11=""),'⚙️ Rate Card'!C29,IF(P11="EC2 (Lift &amp; Shift)",'⚙️ Rate Card'!C25,IF(P11="AWS QuickSight",'⚙️ Rate Card'!C27,IF(P11="Power BI",'⚙️ Rate Card'!C28,IF(P11="Custom Reporting Solution",'⚙️ Rate Card'!C26,0))))))*0.4+(IF(B11="",0,'⚙️ Rate Card'!C33+(D11/100)*'⚙️ Rate Card'!C34))*0.4+AC11+(((D11/100)*'⚙️ Rate Card'!C7+F11*'⚙️ Rate Card'!C9+G11*'⚙️ Rate Card'!C10+H11*'⚙️ Rate Card'!C11+I11*'⚙️ Rate Card'!C12+J11*'⚙️ Rate Card'!C13+K11*'⚙️ Rate Card'!C14+(D11/100)*'⚙️ Rate Card'!C8+L11*IF(OR(O11="N/A",O11="None",O11=""),0,IF(O11="High",'⚙️ Rate Card'!C20,IF(O11="Medium",'⚙️ Rate Card'!C19,'⚙️ Rate Card'!C18)))+M11*IF(OR(P11="Decommission",P11=""),'⚙️ Rate Card'!C29,IF(P11="EC2 (Lift &amp; Shift)",'⚙️ Rate Card'!C25,IF(P11="AWS QuickSight",'⚙️ Rate Card'!C27,IF(P11="Power BI",'⚙️ Rate Card'!C28,IF(P11="Custom Reporting Solution",'⚙️ Rate Card'!C26,0)))))+IF(B11="",0,'⚙️ Rate Card'!C33+(D11/100)*'⚙️ Rate Card'!C34)))*'⚙️ Rate Card'!C35*0.4+(((D11/100)*'⚙️ Rate Card'!C7+F11*'⚙️ Rate Card'!C9+G11*'⚙️ Rate Card'!C10+H11*'⚙️ Rate Card'!C11+I11*'⚙️ Rate Card'!C12+J11*'⚙️ Rate Card'!C13+K11*'⚙️ Rate Card'!C14+(D11/100)*'⚙️ Rate Card'!C8+L11*IF(OR(O11="N/A",O11="None",O11=""),0,IF(O11="High",'⚙️ Rate Card'!C20,IF(O11="Medium",'⚙️ Rate Card'!C19,'⚙️ Rate Card'!C18)))+M11*IF(OR(P11="Decommission",P11=""),'⚙️ Rate Card'!C29,IF(P11="EC2 (Lift &amp; Shift)",'⚙️ Rate Card'!C25,IF(P11="AWS QuickSight",'⚙️ Rate Card'!C27,IF(P11="Power BI",'⚙️ Rate Card'!C28,IF(P11="Custom Reporting Solution",'⚙️ Rate Card'!C26,0)))))+IF(B11="",0,'⚙️ Rate Card'!C33+(D11/100)*'⚙️ Rate Card'!C34)))*'⚙️ Rate Card'!C36*0.4+(((D11/100)*'⚙️ Rate Card'!C7+F11*'⚙️ Rate Card'!C9+G11*'⚙️ Rate Card'!C10+H11*'⚙️ Rate Card'!C11+I11*'⚙️ Rate Card'!C12+J11*'⚙️ Rate Card'!C13+K11*'⚙️ Rate Card'!C14+(D11/100)*'⚙️ Rate Card'!C8+L11*IF(OR(O11="N/A",O11="None",O11=""),0,IF(O11="High",'⚙️ Rate Card'!C20,IF(O11="Medium",'⚙️ Rate Card'!C19,'⚙️ Rate Card'!C18)))+M11*IF(OR(P11="Decommission",P11=""),'⚙️ Rate Card'!C29,IF(P11="EC2 (Lift &amp; Shift)",'⚙️ Rate Card'!C25,IF(P11="AWS QuickSight",'⚙️ Rate Card'!C27,IF(P11="Power BI",'⚙️ Rate Card'!C28,IF(P11="Custom Reporting Solution",'⚙️ Rate Card'!C26,0)))))+IF(B11="",0,'⚙️ Rate Card'!C33+(D11/100)*'⚙️ Rate Card'!C34)))*'⚙️ Rate Card'!C37*0.4)</f>
        <v>0</v>
      </c>
      <c r="AN11" s="38" t="n">
        <f aca="false">IF(B11="",0,AH11+AK11+(M11*IF(OR(P11="Decommission",P11=""),'⚙️ Rate Card'!C29,IF(P11="EC2 (Lift &amp; Shift)",'⚙️ Rate Card'!C25,IF(P11="AWS QuickSight",'⚙️ Rate Card'!C27,IF(P11="Power BI",'⚙️ Rate Card'!C28,IF(P11="Custom Reporting Solution",'⚙️ Rate Card'!C26,0))))))*0.4+(IF(B11="",0,'⚙️ Rate Card'!C33+(D11/100)*'⚙️ Rate Card'!C34))*0.4+AD11+(((D11/100)*'⚙️ Rate Card'!C7+F11*'⚙️ Rate Card'!C9+G11*'⚙️ Rate Card'!C10+H11*'⚙️ Rate Card'!C11+I11*'⚙️ Rate Card'!C12+J11*'⚙️ Rate Card'!C13+K11*'⚙️ Rate Card'!C14+(D11/100)*'⚙️ Rate Card'!C8+L11*IF(OR(O11="N/A",O11="None",O11=""),0,IF(O11="High",'⚙️ Rate Card'!C20,IF(O11="Medium",'⚙️ Rate Card'!C19,'⚙️ Rate Card'!C18)))+M11*IF(OR(P11="Decommission",P11=""),'⚙️ Rate Card'!C29,IF(P11="EC2 (Lift &amp; Shift)",'⚙️ Rate Card'!C25,IF(P11="AWS QuickSight",'⚙️ Rate Card'!C27,IF(P11="Power BI",'⚙️ Rate Card'!C28,IF(P11="Custom Reporting Solution",'⚙️ Rate Card'!C26,0)))))+IF(B11="",0,'⚙️ Rate Card'!C33+(D11/100)*'⚙️ Rate Card'!C34)))*'⚙️ Rate Card'!C35*0.4+(((D11/100)*'⚙️ Rate Card'!C7+F11*'⚙️ Rate Card'!C9+G11*'⚙️ Rate Card'!C10+H11*'⚙️ Rate Card'!C11+I11*'⚙️ Rate Card'!C12+J11*'⚙️ Rate Card'!C13+K11*'⚙️ Rate Card'!C14+(D11/100)*'⚙️ Rate Card'!C8+L11*IF(OR(O11="N/A",O11="None",O11=""),0,IF(O11="High",'⚙️ Rate Card'!C20,IF(O11="Medium",'⚙️ Rate Card'!C19,'⚙️ Rate Card'!C18)))+M11*IF(OR(P11="Decommission",P11=""),'⚙️ Rate Card'!C29,IF(P11="EC2 (Lift &amp; Shift)",'⚙️ Rate Card'!C25,IF(P11="AWS QuickSight",'⚙️ Rate Card'!C27,IF(P11="Power BI",'⚙️ Rate Card'!C28,IF(P11="Custom Reporting Solution",'⚙️ Rate Card'!C26,0)))))+IF(B11="",0,'⚙️ Rate Card'!C33+(D11/100)*'⚙️ Rate Card'!C34)))*'⚙️ Rate Card'!C36*0.4+(((D11/100)*'⚙️ Rate Card'!C7+F11*'⚙️ Rate Card'!C9+G11*'⚙️ Rate Card'!C10+H11*'⚙️ Rate Card'!C11+I11*'⚙️ Rate Card'!C12+J11*'⚙️ Rate Card'!C13+K11*'⚙️ Rate Card'!C14+(D11/100)*'⚙️ Rate Card'!C8+L11*IF(OR(O11="N/A",O11="None",O11=""),0,IF(O11="High",'⚙️ Rate Card'!C20,IF(O11="Medium",'⚙️ Rate Card'!C19,'⚙️ Rate Card'!C18)))+M11*IF(OR(P11="Decommission",P11=""),'⚙️ Rate Card'!C29,IF(P11="EC2 (Lift &amp; Shift)",'⚙️ Rate Card'!C25,IF(P11="AWS QuickSight",'⚙️ Rate Card'!C27,IF(P11="Power BI",'⚙️ Rate Card'!C28,IF(P11="Custom Reporting Solution",'⚙️ Rate Card'!C26,0)))))+IF(B11="",0,'⚙️ Rate Card'!C33+(D11/100)*'⚙️ Rate Card'!C34)))*'⚙️ Rate Card'!C37*0.4)</f>
        <v>0</v>
      </c>
      <c r="AO11" s="39" t="n">
        <f aca="false">IF(B11="",0,AI11+AL11+(M11*IF(OR(P11="Decommission",P11=""),'⚙️ Rate Card'!C29,IF(P11="EC2 (Lift &amp; Shift)",'⚙️ Rate Card'!C25,IF(P11="AWS QuickSight",'⚙️ Rate Card'!C27,IF(P11="Power BI",'⚙️ Rate Card'!C28,IF(P11="Custom Reporting Solution",'⚙️ Rate Card'!C26,0))))))*0.2+(IF(B11="",0,'⚙️ Rate Card'!C33+(D11/100)*'⚙️ Rate Card'!C34))*0.2+AE11+(((D11/100)*'⚙️ Rate Card'!C7+F11*'⚙️ Rate Card'!C9+G11*'⚙️ Rate Card'!C10+H11*'⚙️ Rate Card'!C11+I11*'⚙️ Rate Card'!C12+J11*'⚙️ Rate Card'!C13+K11*'⚙️ Rate Card'!C14+(D11/100)*'⚙️ Rate Card'!C8+L11*IF(OR(O11="N/A",O11="None",O11=""),0,IF(O11="High",'⚙️ Rate Card'!C20,IF(O11="Medium",'⚙️ Rate Card'!C19,'⚙️ Rate Card'!C18)))+M11*IF(OR(P11="Decommission",P11=""),'⚙️ Rate Card'!C29,IF(P11="EC2 (Lift &amp; Shift)",'⚙️ Rate Card'!C25,IF(P11="AWS QuickSight",'⚙️ Rate Card'!C27,IF(P11="Power BI",'⚙️ Rate Card'!C28,IF(P11="Custom Reporting Solution",'⚙️ Rate Card'!C26,0)))))+IF(B11="",0,'⚙️ Rate Card'!C33+(D11/100)*'⚙️ Rate Card'!C34)))*'⚙️ Rate Card'!C35*0.2+(((D11/100)*'⚙️ Rate Card'!C7+F11*'⚙️ Rate Card'!C9+G11*'⚙️ Rate Card'!C10+H11*'⚙️ Rate Card'!C11+I11*'⚙️ Rate Card'!C12+J11*'⚙️ Rate Card'!C13+K11*'⚙️ Rate Card'!C14+(D11/100)*'⚙️ Rate Card'!C8+L11*IF(OR(O11="N/A",O11="None",O11=""),0,IF(O11="High",'⚙️ Rate Card'!C20,IF(O11="Medium",'⚙️ Rate Card'!C19,'⚙️ Rate Card'!C18)))+M11*IF(OR(P11="Decommission",P11=""),'⚙️ Rate Card'!C29,IF(P11="EC2 (Lift &amp; Shift)",'⚙️ Rate Card'!C25,IF(P11="AWS QuickSight",'⚙️ Rate Card'!C27,IF(P11="Power BI",'⚙️ Rate Card'!C28,IF(P11="Custom Reporting Solution",'⚙️ Rate Card'!C26,0)))))+IF(B11="",0,'⚙️ Rate Card'!C33+(D11/100)*'⚙️ Rate Card'!C34)))*'⚙️ Rate Card'!C36*0.2+(((D11/100)*'⚙️ Rate Card'!C7+F11*'⚙️ Rate Card'!C9+G11*'⚙️ Rate Card'!C10+H11*'⚙️ Rate Card'!C11+I11*'⚙️ Rate Card'!C12+J11*'⚙️ Rate Card'!C13+K11*'⚙️ Rate Card'!C14+(D11/100)*'⚙️ Rate Card'!C8+L11*IF(OR(O11="N/A",O11="None",O11=""),0,IF(O11="High",'⚙️ Rate Card'!C20,IF(O11="Medium",'⚙️ Rate Card'!C19,'⚙️ Rate Card'!C18)))+M11*IF(OR(P11="Decommission",P11=""),'⚙️ Rate Card'!C29,IF(P11="EC2 (Lift &amp; Shift)",'⚙️ Rate Card'!C25,IF(P11="AWS QuickSight",'⚙️ Rate Card'!C27,IF(P11="Power BI",'⚙️ Rate Card'!C28,IF(P11="Custom Reporting Solution",'⚙️ Rate Card'!C26,0)))))+IF(B11="",0,'⚙️ Rate Card'!C33+(D11/100)*'⚙️ Rate Card'!C34)))*'⚙️ Rate Card'!C37*0.2)</f>
        <v>0</v>
      </c>
      <c r="AP11" s="42" t="n">
        <f aca="false">'✏️ SME Input'!B12</f>
        <v>0</v>
      </c>
      <c r="AQ11" s="42" t="n">
        <f aca="false">'✏️ SME Input'!C12</f>
        <v>0</v>
      </c>
      <c r="AR11" s="42" t="n">
        <f aca="false">'✏️ SME Input'!D12</f>
        <v>0</v>
      </c>
    </row>
    <row r="12" customFormat="false" ht="18" hidden="false" customHeight="true" outlineLevel="0" collapsed="false">
      <c r="B12" s="30" t="n">
        <f aca="false">'✏️ SME Input'!E13</f>
        <v>0</v>
      </c>
      <c r="C12" s="31" t="str">
        <f aca="false">IF(B12="","",IF(D12&gt;1000,"T3 Complex",IF(D12&gt;500,"T2 Moderate","T1 Simple")))</f>
        <v/>
      </c>
      <c r="D12" s="32" t="n">
        <f aca="false">'✏️ SME Input'!G13</f>
        <v>0</v>
      </c>
      <c r="E12" s="32" t="n">
        <f aca="false">'✏️ SME Input'!H13</f>
        <v>0</v>
      </c>
      <c r="F12" s="32" t="n">
        <f aca="false">'✏️ SME Input'!I13</f>
        <v>0</v>
      </c>
      <c r="G12" s="32" t="n">
        <f aca="false">'✏️ SME Input'!J13</f>
        <v>0</v>
      </c>
      <c r="H12" s="32" t="n">
        <f aca="false">'✏️ SME Input'!K13</f>
        <v>0</v>
      </c>
      <c r="I12" s="32" t="n">
        <f aca="false">'✏️ SME Input'!L13</f>
        <v>0</v>
      </c>
      <c r="J12" s="32" t="n">
        <f aca="false">'✏️ SME Input'!M13</f>
        <v>0</v>
      </c>
      <c r="K12" s="32" t="n">
        <f aca="false">'✏️ SME Input'!N13</f>
        <v>0</v>
      </c>
      <c r="L12" s="32" t="n">
        <f aca="false">'✏️ SME Input'!O13</f>
        <v>0</v>
      </c>
      <c r="M12" s="32" t="n">
        <f aca="false">'✏️ SME Input'!P13</f>
        <v>0</v>
      </c>
      <c r="N12" s="17" t="n">
        <f aca="false">'✏️ SME Input'!Q13</f>
        <v>0</v>
      </c>
      <c r="O12" s="33" t="n">
        <f aca="false">'✏️ SME Input'!R13</f>
        <v>0</v>
      </c>
      <c r="P12" s="33" t="n">
        <f aca="false">'✏️ SME Input'!S13</f>
        <v>0</v>
      </c>
      <c r="Q12" s="32" t="n">
        <f aca="false">'✏️ SME Input'!F13</f>
        <v>0</v>
      </c>
      <c r="R12" s="34" t="n">
        <f aca="false">IF(B12="",0,((D12/100)*'⚙️ Rate Card'!C7+F12*'⚙️ Rate Card'!C9+G12*'⚙️ Rate Card'!C10+H12*'⚙️ Rate Card'!C11+I12*'⚙️ Rate Card'!C12+J12*'⚙️ Rate Card'!C13+K12*'⚙️ Rate Card'!C14+(D12/100)*'⚙️ Rate Card'!C8+L12*IF(OR(O12="N/A",O12="None",O12=""),0,IF(O12="High",'⚙️ Rate Card'!C20,IF(O12="Medium",'⚙️ Rate Card'!C19,'⚙️ Rate Card'!C18)))+M12*IF(OR(P12="Decommission",P12=""),'⚙️ Rate Card'!C29,IF(P12="EC2 (Lift &amp; Shift)",'⚙️ Rate Card'!C25,IF(P12="AWS QuickSight",'⚙️ Rate Card'!C27,IF(P12="Power BI",'⚙️ Rate Card'!C28,IF(P12="Custom Reporting Solution",'⚙️ Rate Card'!C26,0)))))+IF(B12="",0,'⚙️ Rate Card'!C33+(D12/100)*'⚙️ Rate Card'!C34))*'⚙️ Rate Card'!C37+(D12/100)*'⚙️ Rate Card'!C7+F12*'⚙️ Rate Card'!C9+G12*'⚙️ Rate Card'!C10+H12*'⚙️ Rate Card'!C11+I12*'⚙️ Rate Card'!C12+J12*'⚙️ Rate Card'!C13+K12*'⚙️ Rate Card'!C14+(D12/100)*'⚙️ Rate Card'!C8+(D12/100)*'⚙️ Rate Card'!C8+L12*IF(OR(O12="N/A",O12="None",O12=""),0,IF(O12="High",'⚙️ Rate Card'!C20,IF(O12="Medium",'⚙️ Rate Card'!C19,'⚙️ Rate Card'!C18)))+M12*IF(OR(P12="Decommission",P12=""),'⚙️ Rate Card'!C29,IF(P12="EC2 (Lift &amp; Shift)",'⚙️ Rate Card'!C25,IF(P12="AWS QuickSight",'⚙️ Rate Card'!C27,IF(P12="Power BI",'⚙️ Rate Card'!C28,IF(P12="Custom Reporting Solution",'⚙️ Rate Card'!C26,0)))))+IF(B12="",0,'⚙️ Rate Card'!C33+(D12/100)*'⚙️ Rate Card'!C34)+((D12/100)*'⚙️ Rate Card'!C7+F12*'⚙️ Rate Card'!C9+G12*'⚙️ Rate Card'!C10+H12*'⚙️ Rate Card'!C11+I12*'⚙️ Rate Card'!C12+J12*'⚙️ Rate Card'!C13+K12*'⚙️ Rate Card'!C14+(D12/100)*'⚙️ Rate Card'!C8+L12*IF(OR(O12="N/A",O12="None",O12=""),0,IF(O12="High",'⚙️ Rate Card'!C20,IF(O12="Medium",'⚙️ Rate Card'!C19,'⚙️ Rate Card'!C18)))+M12*IF(OR(P12="Decommission",P12=""),'⚙️ Rate Card'!C29,IF(P12="EC2 (Lift &amp; Shift)",'⚙️ Rate Card'!C25,IF(P12="AWS QuickSight",'⚙️ Rate Card'!C27,IF(P12="Power BI",'⚙️ Rate Card'!C28,IF(P12="Custom Reporting Solution",'⚙️ Rate Card'!C26,0)))))+IF(B12="",0,'⚙️ Rate Card'!C33+(D12/100)*'⚙️ Rate Card'!C34))*'⚙️ Rate Card'!C35+((D12/100)*'⚙️ Rate Card'!C7+F12*'⚙️ Rate Card'!C9+G12*'⚙️ Rate Card'!C10+H12*'⚙️ Rate Card'!C11+I12*'⚙️ Rate Card'!C12+J12*'⚙️ Rate Card'!C13+K12*'⚙️ Rate Card'!C14+(D12/100)*'⚙️ Rate Card'!C8+L12*IF(OR(O12="N/A",O12="None",O12=""),0,IF(O12="High",'⚙️ Rate Card'!C20,IF(O12="Medium",'⚙️ Rate Card'!C19,'⚙️ Rate Card'!C18)))+M12*IF(OR(P12="Decommission",P12=""),'⚙️ Rate Card'!C29,IF(P12="EC2 (Lift &amp; Shift)",'⚙️ Rate Card'!C25,IF(P12="AWS QuickSight",'⚙️ Rate Card'!C27,IF(P12="Power BI",'⚙️ Rate Card'!C28,IF(P12="Custom Reporting Solution",'⚙️ Rate Card'!C26,0)))))+IF(B12="",0,'⚙️ Rate Card'!C33+(D12/100)*'⚙️ Rate Card'!C34))*'⚙️ Rate Card'!C36)</f>
        <v>0</v>
      </c>
      <c r="S12" s="34" t="n">
        <f aca="false">IF(B12="",0,(((D12/100)*'⚙️ Rate Card'!C7+F12*'⚙️ Rate Card'!C9+G12*'⚙️ Rate Card'!C10+H12*'⚙️ Rate Card'!C11+I12*'⚙️ Rate Card'!C12+J12*'⚙️ Rate Card'!C13+K12*'⚙️ Rate Card'!C14+(D12/100)*'⚙️ Rate Card'!C8+L12*IF(OR(O12="N/A",O12="None",O12=""),0,IF(O12="High",'⚙️ Rate Card'!C20,IF(O12="Medium",'⚙️ Rate Card'!C19,'⚙️ Rate Card'!C18)))+M12*IF(OR(P12="Decommission",P12=""),'⚙️ Rate Card'!C29,IF(P12="EC2 (Lift &amp; Shift)",'⚙️ Rate Card'!C25,IF(P12="AWS QuickSight",'⚙️ Rate Card'!C27,IF(P12="Power BI",'⚙️ Rate Card'!C28,IF(P12="Custom Reporting Solution",'⚙️ Rate Card'!C26,0)))))+IF(B12="",0,'⚙️ Rate Card'!C33+(D12/100)*'⚙️ Rate Card'!C34))*'⚙️ Rate Card'!C37)*(1-'📊 Dashboard'!C10/100)+(((D12/100)*'⚙️ Rate Card'!C7+F12*'⚙️ Rate Card'!C9+G12*'⚙️ Rate Card'!C10+H12*'⚙️ Rate Card'!C11+I12*'⚙️ Rate Card'!C12+J12*'⚙️ Rate Card'!C13+K12*'⚙️ Rate Card'!C14+(D12/100)*'⚙️ Rate Card'!C8+(D12/100)*'⚙️ Rate Card'!C8))*(1-'📊 Dashboard'!C10/100)+(L12*IF(OR(O12="N/A",O12="None",O12=""),0,IF(O12="High",'⚙️ Rate Card'!C20,IF(O12="Medium",'⚙️ Rate Card'!C19,'⚙️ Rate Card'!C18))))*(1-'📊 Dashboard'!C11/100)+(M12*IF(OR(P12="Decommission",P12=""),'⚙️ Rate Card'!C29,IF(P12="EC2 (Lift &amp; Shift)",'⚙️ Rate Card'!C25,IF(P12="AWS QuickSight",'⚙️ Rate Card'!C27,IF(P12="Power BI",'⚙️ Rate Card'!C28,IF(P12="Custom Reporting Solution",'⚙️ Rate Card'!C26,0))))))*(1-'📊 Dashboard'!C12/100)+(IF(B12="",0,'⚙️ Rate Card'!C33+(D12/100)*'⚙️ Rate Card'!C34))*(1-'📊 Dashboard'!C10/100)+(((D12/100)*'⚙️ Rate Card'!C7+F12*'⚙️ Rate Card'!C9+G12*'⚙️ Rate Card'!C10+H12*'⚙️ Rate Card'!C11+I12*'⚙️ Rate Card'!C12+J12*'⚙️ Rate Card'!C13+K12*'⚙️ Rate Card'!C14+(D12/100)*'⚙️ Rate Card'!C8+L12*IF(OR(O12="N/A",O12="None",O12=""),0,IF(O12="High",'⚙️ Rate Card'!C20,IF(O12="Medium",'⚙️ Rate Card'!C19,'⚙️ Rate Card'!C18)))+M12*IF(OR(P12="Decommission",P12=""),'⚙️ Rate Card'!C29,IF(P12="EC2 (Lift &amp; Shift)",'⚙️ Rate Card'!C25,IF(P12="AWS QuickSight",'⚙️ Rate Card'!C27,IF(P12="Power BI",'⚙️ Rate Card'!C28,IF(P12="Custom Reporting Solution",'⚙️ Rate Card'!C26,0)))))+IF(B12="",0,'⚙️ Rate Card'!C33+(D12/100)*'⚙️ Rate Card'!C34))*'⚙️ Rate Card'!C35)*(1-'📊 Dashboard'!C13/100)+(((D12/100)*'⚙️ Rate Card'!C7+F12*'⚙️ Rate Card'!C9+G12*'⚙️ Rate Card'!C10+H12*'⚙️ Rate Card'!C11+I12*'⚙️ Rate Card'!C12+J12*'⚙️ Rate Card'!C13+K12*'⚙️ Rate Card'!C14+(D12/100)*'⚙️ Rate Card'!C8+L12*IF(OR(O12="N/A",O12="None",O12=""),0,IF(O12="High",'⚙️ Rate Card'!C20,IF(O12="Medium",'⚙️ Rate Card'!C19,'⚙️ Rate Card'!C18)))+M12*IF(OR(P12="Decommission",P12=""),'⚙️ Rate Card'!C29,IF(P12="EC2 (Lift &amp; Shift)",'⚙️ Rate Card'!C25,IF(P12="AWS QuickSight",'⚙️ Rate Card'!C27,IF(P12="Power BI",'⚙️ Rate Card'!C28,IF(P12="Custom Reporting Solution",'⚙️ Rate Card'!C26,0)))))+IF(B12="",0,'⚙️ Rate Card'!C33+(D12/100)*'⚙️ Rate Card'!C34))*'⚙️ Rate Card'!C36)*(1-'📊 Dashboard'!C10/100))</f>
        <v>0</v>
      </c>
      <c r="T12" s="35" t="n">
        <f aca="false">IF(B12="",0,S12*(1+'📊 Dashboard'!C14/100))</f>
        <v>0</v>
      </c>
      <c r="U12" s="36" t="n">
        <f aca="false">IF(B12="",0,((D12/100)*'⚙️ Rate Card'!C7+F12*'⚙️ Rate Card'!C9+G12*'⚙️ Rate Card'!C10+H12*'⚙️ Rate Card'!C11+I12*'⚙️ Rate Card'!C12+J12*'⚙️ Rate Card'!C13+K12*'⚙️ Rate Card'!C14+(D12/100)*'⚙️ Rate Card'!C8+L12*IF(OR(O12="N/A",O12="None",O12=""),0,IF(O12="High",'⚙️ Rate Card'!C20,IF(O12="Medium",'⚙️ Rate Card'!C19,'⚙️ Rate Card'!C18)))+M12*IF(OR(P12="Decommission",P12=""),'⚙️ Rate Card'!C29,IF(P12="EC2 (Lift &amp; Shift)",'⚙️ Rate Card'!C25,IF(P12="AWS QuickSight",'⚙️ Rate Card'!C27,IF(P12="Power BI",'⚙️ Rate Card'!C28,IF(P12="Custom Reporting Solution",'⚙️ Rate Card'!C26,0)))))+IF(B12="",0,'⚙️ Rate Card'!C33+(D12/100)*'⚙️ Rate Card'!C34))*'⚙️ Rate Card'!C37)</f>
        <v>0</v>
      </c>
      <c r="V12" s="36" t="n">
        <f aca="false">IF(B12="",0,(D12/100)*'⚙️ Rate Card'!C7+F12*'⚙️ Rate Card'!C9+G12*'⚙️ Rate Card'!C10+H12*'⚙️ Rate Card'!C11+I12*'⚙️ Rate Card'!C12+J12*'⚙️ Rate Card'!C13+K12*'⚙️ Rate Card'!C14+(D12/100)*'⚙️ Rate Card'!C8+(D12/100)*'⚙️ Rate Card'!C8)</f>
        <v>0</v>
      </c>
      <c r="W12" s="36" t="n">
        <f aca="false">IF(B12="",0,L12*IF(OR(O12="N/A",O12="None",O12=""),0,IF(O12="High",'⚙️ Rate Card'!C20,IF(O12="Medium",'⚙️ Rate Card'!C19,'⚙️ Rate Card'!C18))))</f>
        <v>0</v>
      </c>
      <c r="X12" s="36" t="n">
        <f aca="false">IF(B12="",0,M12*IF(OR(P12="Decommission",P12=""),'⚙️ Rate Card'!C29,IF(P12="EC2 (Lift &amp; Shift)",'⚙️ Rate Card'!C25,IF(P12="AWS QuickSight",'⚙️ Rate Card'!C27,IF(P12="Power BI",'⚙️ Rate Card'!C28,IF(P12="Custom Reporting Solution",'⚙️ Rate Card'!C26,0))))))</f>
        <v>0</v>
      </c>
      <c r="Y12" s="36" t="n">
        <f aca="false">IF(B12="",0,IF(B12="",0,'⚙️ Rate Card'!C33+(D12/100)*'⚙️ Rate Card'!C34))</f>
        <v>0</v>
      </c>
      <c r="Z12" s="36" t="n">
        <f aca="false">IF(B12="",0,((D12/100)*'⚙️ Rate Card'!C7+F12*'⚙️ Rate Card'!C9+G12*'⚙️ Rate Card'!C10+H12*'⚙️ Rate Card'!C11+I12*'⚙️ Rate Card'!C12+J12*'⚙️ Rate Card'!C13+K12*'⚙️ Rate Card'!C14+(D12/100)*'⚙️ Rate Card'!C8+L12*IF(OR(O12="N/A",O12="None",O12=""),0,IF(O12="High",'⚙️ Rate Card'!C20,IF(O12="Medium",'⚙️ Rate Card'!C19,'⚙️ Rate Card'!C18)))+M12*IF(OR(P12="Decommission",P12=""),'⚙️ Rate Card'!C29,IF(P12="EC2 (Lift &amp; Shift)",'⚙️ Rate Card'!C25,IF(P12="AWS QuickSight",'⚙️ Rate Card'!C27,IF(P12="Power BI",'⚙️ Rate Card'!C28,IF(P12="Custom Reporting Solution",'⚙️ Rate Card'!C26,0)))))+IF(B12="",0,'⚙️ Rate Card'!C33+(D12/100)*'⚙️ Rate Card'!C34))*'⚙️ Rate Card'!C35)</f>
        <v>0</v>
      </c>
      <c r="AA12" s="36" t="n">
        <f aca="false">IF(B12="",0,((D12/100)*'⚙️ Rate Card'!C7+F12*'⚙️ Rate Card'!C9+G12*'⚙️ Rate Card'!C10+H12*'⚙️ Rate Card'!C11+I12*'⚙️ Rate Card'!C12+J12*'⚙️ Rate Card'!C13+K12*'⚙️ Rate Card'!C14+(D12/100)*'⚙️ Rate Card'!C8+L12*IF(OR(O12="N/A",O12="None",O12=""),0,IF(O12="High",'⚙️ Rate Card'!C20,IF(O12="Medium",'⚙️ Rate Card'!C19,'⚙️ Rate Card'!C18)))+M12*IF(OR(P12="Decommission",P12=""),'⚙️ Rate Card'!C29,IF(P12="EC2 (Lift &amp; Shift)",'⚙️ Rate Card'!C25,IF(P12="AWS QuickSight",'⚙️ Rate Card'!C27,IF(P12="Power BI",'⚙️ Rate Card'!C28,IF(P12="Custom Reporting Solution",'⚙️ Rate Card'!C26,0)))))+IF(B12="",0,'⚙️ Rate Card'!C33+(D12/100)*'⚙️ Rate Card'!C34))*'⚙️ Rate Card'!C36)</f>
        <v>0</v>
      </c>
      <c r="AB12" s="37" t="n">
        <f aca="false">'✏️ SME Input'!T13</f>
        <v>0</v>
      </c>
      <c r="AC12" s="36" t="n">
        <f aca="false">IF(B12="",0,AB12*0.75)</f>
        <v>0</v>
      </c>
      <c r="AD12" s="36" t="n">
        <f aca="false">IF(B12="",0,AB12*0.75)</f>
        <v>0</v>
      </c>
      <c r="AE12" s="36" t="n">
        <f aca="false">IF(B12="",0,AB12*0.75)</f>
        <v>0</v>
      </c>
      <c r="AF12" s="36" t="n">
        <f aca="false">IF(B12="",0,AB12*2.25)</f>
        <v>0</v>
      </c>
      <c r="AG12" s="36" t="n">
        <f aca="false">IF(B12="",0,((D12/100)*'⚙️ Rate Card'!C7+F12*'⚙️ Rate Card'!C9+G12*'⚙️ Rate Card'!C10+H12*'⚙️ Rate Card'!C11+I12*'⚙️ Rate Card'!C12+J12*'⚙️ Rate Card'!C13+K12*'⚙️ Rate Card'!C14+(D12/100)*'⚙️ Rate Card'!C8)*0.4)</f>
        <v>0</v>
      </c>
      <c r="AH12" s="36" t="n">
        <f aca="false">IF(B12="",0,((D12/100)*'⚙️ Rate Card'!C7+F12*'⚙️ Rate Card'!C9+G12*'⚙️ Rate Card'!C10+H12*'⚙️ Rate Card'!C11+I12*'⚙️ Rate Card'!C12+J12*'⚙️ Rate Card'!C13+K12*'⚙️ Rate Card'!C14+(D12/100)*'⚙️ Rate Card'!C8)*0.4)</f>
        <v>0</v>
      </c>
      <c r="AI12" s="36" t="n">
        <f aca="false">IF(B12="",0,((D12/100)*'⚙️ Rate Card'!C7+F12*'⚙️ Rate Card'!C9+G12*'⚙️ Rate Card'!C10+H12*'⚙️ Rate Card'!C11+I12*'⚙️ Rate Card'!C12+J12*'⚙️ Rate Card'!C13+K12*'⚙️ Rate Card'!C14+(D12/100)*'⚙️ Rate Card'!C8)*0.2)</f>
        <v>0</v>
      </c>
      <c r="AJ12" s="36" t="n">
        <f aca="false">IF(B12="",0,(L12*IF(OR(O12="N/A",O12="None",O12=""),0,IF(O12="High",'⚙️ Rate Card'!C20,IF(O12="Medium",'⚙️ Rate Card'!C19,'⚙️ Rate Card'!C18))))*0.5)</f>
        <v>0</v>
      </c>
      <c r="AK12" s="36" t="n">
        <f aca="false">IF(B12="",0,(L12*IF(OR(O12="N/A",O12="None",O12=""),0,IF(O12="High",'⚙️ Rate Card'!C20,IF(O12="Medium",'⚙️ Rate Card'!C19,'⚙️ Rate Card'!C18))))*0.35)</f>
        <v>0</v>
      </c>
      <c r="AL12" s="36" t="n">
        <f aca="false">IF(B12="",0,(L12*IF(OR(O12="N/A",O12="None",O12=""),0,IF(O12="High",'⚙️ Rate Card'!C20,IF(O12="Medium",'⚙️ Rate Card'!C19,'⚙️ Rate Card'!C18))))*0.15)</f>
        <v>0</v>
      </c>
      <c r="AM12" s="35" t="n">
        <f aca="false">IF(B12="",0,AG12+AJ12+(M12*IF(OR(P12="Decommission",P12=""),'⚙️ Rate Card'!C29,IF(P12="EC2 (Lift &amp; Shift)",'⚙️ Rate Card'!C25,IF(P12="AWS QuickSight",'⚙️ Rate Card'!C27,IF(P12="Power BI",'⚙️ Rate Card'!C28,IF(P12="Custom Reporting Solution",'⚙️ Rate Card'!C26,0))))))*0.4+(IF(B12="",0,'⚙️ Rate Card'!C33+(D12/100)*'⚙️ Rate Card'!C34))*0.4+AC12+(((D12/100)*'⚙️ Rate Card'!C7+F12*'⚙️ Rate Card'!C9+G12*'⚙️ Rate Card'!C10+H12*'⚙️ Rate Card'!C11+I12*'⚙️ Rate Card'!C12+J12*'⚙️ Rate Card'!C13+K12*'⚙️ Rate Card'!C14+(D12/100)*'⚙️ Rate Card'!C8+L12*IF(OR(O12="N/A",O12="None",O12=""),0,IF(O12="High",'⚙️ Rate Card'!C20,IF(O12="Medium",'⚙️ Rate Card'!C19,'⚙️ Rate Card'!C18)))+M12*IF(OR(P12="Decommission",P12=""),'⚙️ Rate Card'!C29,IF(P12="EC2 (Lift &amp; Shift)",'⚙️ Rate Card'!C25,IF(P12="AWS QuickSight",'⚙️ Rate Card'!C27,IF(P12="Power BI",'⚙️ Rate Card'!C28,IF(P12="Custom Reporting Solution",'⚙️ Rate Card'!C26,0)))))+IF(B12="",0,'⚙️ Rate Card'!C33+(D12/100)*'⚙️ Rate Card'!C34)))*'⚙️ Rate Card'!C35*0.4+(((D12/100)*'⚙️ Rate Card'!C7+F12*'⚙️ Rate Card'!C9+G12*'⚙️ Rate Card'!C10+H12*'⚙️ Rate Card'!C11+I12*'⚙️ Rate Card'!C12+J12*'⚙️ Rate Card'!C13+K12*'⚙️ Rate Card'!C14+(D12/100)*'⚙️ Rate Card'!C8+L12*IF(OR(O12="N/A",O12="None",O12=""),0,IF(O12="High",'⚙️ Rate Card'!C20,IF(O12="Medium",'⚙️ Rate Card'!C19,'⚙️ Rate Card'!C18)))+M12*IF(OR(P12="Decommission",P12=""),'⚙️ Rate Card'!C29,IF(P12="EC2 (Lift &amp; Shift)",'⚙️ Rate Card'!C25,IF(P12="AWS QuickSight",'⚙️ Rate Card'!C27,IF(P12="Power BI",'⚙️ Rate Card'!C28,IF(P12="Custom Reporting Solution",'⚙️ Rate Card'!C26,0)))))+IF(B12="",0,'⚙️ Rate Card'!C33+(D12/100)*'⚙️ Rate Card'!C34)))*'⚙️ Rate Card'!C36*0.4+(((D12/100)*'⚙️ Rate Card'!C7+F12*'⚙️ Rate Card'!C9+G12*'⚙️ Rate Card'!C10+H12*'⚙️ Rate Card'!C11+I12*'⚙️ Rate Card'!C12+J12*'⚙️ Rate Card'!C13+K12*'⚙️ Rate Card'!C14+(D12/100)*'⚙️ Rate Card'!C8+L12*IF(OR(O12="N/A",O12="None",O12=""),0,IF(O12="High",'⚙️ Rate Card'!C20,IF(O12="Medium",'⚙️ Rate Card'!C19,'⚙️ Rate Card'!C18)))+M12*IF(OR(P12="Decommission",P12=""),'⚙️ Rate Card'!C29,IF(P12="EC2 (Lift &amp; Shift)",'⚙️ Rate Card'!C25,IF(P12="AWS QuickSight",'⚙️ Rate Card'!C27,IF(P12="Power BI",'⚙️ Rate Card'!C28,IF(P12="Custom Reporting Solution",'⚙️ Rate Card'!C26,0)))))+IF(B12="",0,'⚙️ Rate Card'!C33+(D12/100)*'⚙️ Rate Card'!C34)))*'⚙️ Rate Card'!C37*0.4)</f>
        <v>0</v>
      </c>
      <c r="AN12" s="38" t="n">
        <f aca="false">IF(B12="",0,AH12+AK12+(M12*IF(OR(P12="Decommission",P12=""),'⚙️ Rate Card'!C29,IF(P12="EC2 (Lift &amp; Shift)",'⚙️ Rate Card'!C25,IF(P12="AWS QuickSight",'⚙️ Rate Card'!C27,IF(P12="Power BI",'⚙️ Rate Card'!C28,IF(P12="Custom Reporting Solution",'⚙️ Rate Card'!C26,0))))))*0.4+(IF(B12="",0,'⚙️ Rate Card'!C33+(D12/100)*'⚙️ Rate Card'!C34))*0.4+AD12+(((D12/100)*'⚙️ Rate Card'!C7+F12*'⚙️ Rate Card'!C9+G12*'⚙️ Rate Card'!C10+H12*'⚙️ Rate Card'!C11+I12*'⚙️ Rate Card'!C12+J12*'⚙️ Rate Card'!C13+K12*'⚙️ Rate Card'!C14+(D12/100)*'⚙️ Rate Card'!C8+L12*IF(OR(O12="N/A",O12="None",O12=""),0,IF(O12="High",'⚙️ Rate Card'!C20,IF(O12="Medium",'⚙️ Rate Card'!C19,'⚙️ Rate Card'!C18)))+M12*IF(OR(P12="Decommission",P12=""),'⚙️ Rate Card'!C29,IF(P12="EC2 (Lift &amp; Shift)",'⚙️ Rate Card'!C25,IF(P12="AWS QuickSight",'⚙️ Rate Card'!C27,IF(P12="Power BI",'⚙️ Rate Card'!C28,IF(P12="Custom Reporting Solution",'⚙️ Rate Card'!C26,0)))))+IF(B12="",0,'⚙️ Rate Card'!C33+(D12/100)*'⚙️ Rate Card'!C34)))*'⚙️ Rate Card'!C35*0.4+(((D12/100)*'⚙️ Rate Card'!C7+F12*'⚙️ Rate Card'!C9+G12*'⚙️ Rate Card'!C10+H12*'⚙️ Rate Card'!C11+I12*'⚙️ Rate Card'!C12+J12*'⚙️ Rate Card'!C13+K12*'⚙️ Rate Card'!C14+(D12/100)*'⚙️ Rate Card'!C8+L12*IF(OR(O12="N/A",O12="None",O12=""),0,IF(O12="High",'⚙️ Rate Card'!C20,IF(O12="Medium",'⚙️ Rate Card'!C19,'⚙️ Rate Card'!C18)))+M12*IF(OR(P12="Decommission",P12=""),'⚙️ Rate Card'!C29,IF(P12="EC2 (Lift &amp; Shift)",'⚙️ Rate Card'!C25,IF(P12="AWS QuickSight",'⚙️ Rate Card'!C27,IF(P12="Power BI",'⚙️ Rate Card'!C28,IF(P12="Custom Reporting Solution",'⚙️ Rate Card'!C26,0)))))+IF(B12="",0,'⚙️ Rate Card'!C33+(D12/100)*'⚙️ Rate Card'!C34)))*'⚙️ Rate Card'!C36*0.4+(((D12/100)*'⚙️ Rate Card'!C7+F12*'⚙️ Rate Card'!C9+G12*'⚙️ Rate Card'!C10+H12*'⚙️ Rate Card'!C11+I12*'⚙️ Rate Card'!C12+J12*'⚙️ Rate Card'!C13+K12*'⚙️ Rate Card'!C14+(D12/100)*'⚙️ Rate Card'!C8+L12*IF(OR(O12="N/A",O12="None",O12=""),0,IF(O12="High",'⚙️ Rate Card'!C20,IF(O12="Medium",'⚙️ Rate Card'!C19,'⚙️ Rate Card'!C18)))+M12*IF(OR(P12="Decommission",P12=""),'⚙️ Rate Card'!C29,IF(P12="EC2 (Lift &amp; Shift)",'⚙️ Rate Card'!C25,IF(P12="AWS QuickSight",'⚙️ Rate Card'!C27,IF(P12="Power BI",'⚙️ Rate Card'!C28,IF(P12="Custom Reporting Solution",'⚙️ Rate Card'!C26,0)))))+IF(B12="",0,'⚙️ Rate Card'!C33+(D12/100)*'⚙️ Rate Card'!C34)))*'⚙️ Rate Card'!C37*0.4)</f>
        <v>0</v>
      </c>
      <c r="AO12" s="39" t="n">
        <f aca="false">IF(B12="",0,AI12+AL12+(M12*IF(OR(P12="Decommission",P12=""),'⚙️ Rate Card'!C29,IF(P12="EC2 (Lift &amp; Shift)",'⚙️ Rate Card'!C25,IF(P12="AWS QuickSight",'⚙️ Rate Card'!C27,IF(P12="Power BI",'⚙️ Rate Card'!C28,IF(P12="Custom Reporting Solution",'⚙️ Rate Card'!C26,0))))))*0.2+(IF(B12="",0,'⚙️ Rate Card'!C33+(D12/100)*'⚙️ Rate Card'!C34))*0.2+AE12+(((D12/100)*'⚙️ Rate Card'!C7+F12*'⚙️ Rate Card'!C9+G12*'⚙️ Rate Card'!C10+H12*'⚙️ Rate Card'!C11+I12*'⚙️ Rate Card'!C12+J12*'⚙️ Rate Card'!C13+K12*'⚙️ Rate Card'!C14+(D12/100)*'⚙️ Rate Card'!C8+L12*IF(OR(O12="N/A",O12="None",O12=""),0,IF(O12="High",'⚙️ Rate Card'!C20,IF(O12="Medium",'⚙️ Rate Card'!C19,'⚙️ Rate Card'!C18)))+M12*IF(OR(P12="Decommission",P12=""),'⚙️ Rate Card'!C29,IF(P12="EC2 (Lift &amp; Shift)",'⚙️ Rate Card'!C25,IF(P12="AWS QuickSight",'⚙️ Rate Card'!C27,IF(P12="Power BI",'⚙️ Rate Card'!C28,IF(P12="Custom Reporting Solution",'⚙️ Rate Card'!C26,0)))))+IF(B12="",0,'⚙️ Rate Card'!C33+(D12/100)*'⚙️ Rate Card'!C34)))*'⚙️ Rate Card'!C35*0.2+(((D12/100)*'⚙️ Rate Card'!C7+F12*'⚙️ Rate Card'!C9+G12*'⚙️ Rate Card'!C10+H12*'⚙️ Rate Card'!C11+I12*'⚙️ Rate Card'!C12+J12*'⚙️ Rate Card'!C13+K12*'⚙️ Rate Card'!C14+(D12/100)*'⚙️ Rate Card'!C8+L12*IF(OR(O12="N/A",O12="None",O12=""),0,IF(O12="High",'⚙️ Rate Card'!C20,IF(O12="Medium",'⚙️ Rate Card'!C19,'⚙️ Rate Card'!C18)))+M12*IF(OR(P12="Decommission",P12=""),'⚙️ Rate Card'!C29,IF(P12="EC2 (Lift &amp; Shift)",'⚙️ Rate Card'!C25,IF(P12="AWS QuickSight",'⚙️ Rate Card'!C27,IF(P12="Power BI",'⚙️ Rate Card'!C28,IF(P12="Custom Reporting Solution",'⚙️ Rate Card'!C26,0)))))+IF(B12="",0,'⚙️ Rate Card'!C33+(D12/100)*'⚙️ Rate Card'!C34)))*'⚙️ Rate Card'!C36*0.2+(((D12/100)*'⚙️ Rate Card'!C7+F12*'⚙️ Rate Card'!C9+G12*'⚙️ Rate Card'!C10+H12*'⚙️ Rate Card'!C11+I12*'⚙️ Rate Card'!C12+J12*'⚙️ Rate Card'!C13+K12*'⚙️ Rate Card'!C14+(D12/100)*'⚙️ Rate Card'!C8+L12*IF(OR(O12="N/A",O12="None",O12=""),0,IF(O12="High",'⚙️ Rate Card'!C20,IF(O12="Medium",'⚙️ Rate Card'!C19,'⚙️ Rate Card'!C18)))+M12*IF(OR(P12="Decommission",P12=""),'⚙️ Rate Card'!C29,IF(P12="EC2 (Lift &amp; Shift)",'⚙️ Rate Card'!C25,IF(P12="AWS QuickSight",'⚙️ Rate Card'!C27,IF(P12="Power BI",'⚙️ Rate Card'!C28,IF(P12="Custom Reporting Solution",'⚙️ Rate Card'!C26,0)))))+IF(B12="",0,'⚙️ Rate Card'!C33+(D12/100)*'⚙️ Rate Card'!C34)))*'⚙️ Rate Card'!C37*0.2)</f>
        <v>0</v>
      </c>
      <c r="AP12" s="37" t="n">
        <f aca="false">'✏️ SME Input'!B13</f>
        <v>0</v>
      </c>
      <c r="AQ12" s="37" t="n">
        <f aca="false">'✏️ SME Input'!C13</f>
        <v>0</v>
      </c>
      <c r="AR12" s="37" t="n">
        <f aca="false">'✏️ SME Input'!D13</f>
        <v>0</v>
      </c>
    </row>
    <row r="13" customFormat="false" ht="18" hidden="false" customHeight="true" outlineLevel="0" collapsed="false">
      <c r="B13" s="40" t="n">
        <f aca="false">'✏️ SME Input'!E14</f>
        <v>0</v>
      </c>
      <c r="C13" s="31" t="str">
        <f aca="false">IF(B13="","",IF(D13&gt;1000,"T3 Complex",IF(D13&gt;500,"T2 Moderate","T1 Simple")))</f>
        <v/>
      </c>
      <c r="D13" s="32" t="n">
        <f aca="false">'✏️ SME Input'!G14</f>
        <v>0</v>
      </c>
      <c r="E13" s="32" t="n">
        <f aca="false">'✏️ SME Input'!H14</f>
        <v>0</v>
      </c>
      <c r="F13" s="32" t="n">
        <f aca="false">'✏️ SME Input'!I14</f>
        <v>0</v>
      </c>
      <c r="G13" s="32" t="n">
        <f aca="false">'✏️ SME Input'!J14</f>
        <v>0</v>
      </c>
      <c r="H13" s="32" t="n">
        <f aca="false">'✏️ SME Input'!K14</f>
        <v>0</v>
      </c>
      <c r="I13" s="32" t="n">
        <f aca="false">'✏️ SME Input'!L14</f>
        <v>0</v>
      </c>
      <c r="J13" s="32" t="n">
        <f aca="false">'✏️ SME Input'!M14</f>
        <v>0</v>
      </c>
      <c r="K13" s="32" t="n">
        <f aca="false">'✏️ SME Input'!N14</f>
        <v>0</v>
      </c>
      <c r="L13" s="32" t="n">
        <f aca="false">'✏️ SME Input'!O14</f>
        <v>0</v>
      </c>
      <c r="M13" s="32" t="n">
        <f aca="false">'✏️ SME Input'!P14</f>
        <v>0</v>
      </c>
      <c r="N13" s="17" t="n">
        <f aca="false">'✏️ SME Input'!Q14</f>
        <v>0</v>
      </c>
      <c r="O13" s="33" t="n">
        <f aca="false">'✏️ SME Input'!R14</f>
        <v>0</v>
      </c>
      <c r="P13" s="33" t="n">
        <f aca="false">'✏️ SME Input'!S14</f>
        <v>0</v>
      </c>
      <c r="Q13" s="32" t="n">
        <f aca="false">'✏️ SME Input'!F14</f>
        <v>0</v>
      </c>
      <c r="R13" s="34" t="n">
        <f aca="false">IF(B13="",0,((D13/100)*'⚙️ Rate Card'!C7+F13*'⚙️ Rate Card'!C9+G13*'⚙️ Rate Card'!C10+H13*'⚙️ Rate Card'!C11+I13*'⚙️ Rate Card'!C12+J13*'⚙️ Rate Card'!C13+K13*'⚙️ Rate Card'!C14+(D13/100)*'⚙️ Rate Card'!C8+L13*IF(OR(O13="N/A",O13="None",O13=""),0,IF(O13="High",'⚙️ Rate Card'!C20,IF(O13="Medium",'⚙️ Rate Card'!C19,'⚙️ Rate Card'!C18)))+M13*IF(OR(P13="Decommission",P13=""),'⚙️ Rate Card'!C29,IF(P13="EC2 (Lift &amp; Shift)",'⚙️ Rate Card'!C25,IF(P13="AWS QuickSight",'⚙️ Rate Card'!C27,IF(P13="Power BI",'⚙️ Rate Card'!C28,IF(P13="Custom Reporting Solution",'⚙️ Rate Card'!C26,0)))))+IF(B13="",0,'⚙️ Rate Card'!C33+(D13/100)*'⚙️ Rate Card'!C34))*'⚙️ Rate Card'!C37+(D13/100)*'⚙️ Rate Card'!C7+F13*'⚙️ Rate Card'!C9+G13*'⚙️ Rate Card'!C10+H13*'⚙️ Rate Card'!C11+I13*'⚙️ Rate Card'!C12+J13*'⚙️ Rate Card'!C13+K13*'⚙️ Rate Card'!C14+(D13/100)*'⚙️ Rate Card'!C8+(D13/100)*'⚙️ Rate Card'!C8+L13*IF(OR(O13="N/A",O13="None",O13=""),0,IF(O13="High",'⚙️ Rate Card'!C20,IF(O13="Medium",'⚙️ Rate Card'!C19,'⚙️ Rate Card'!C18)))+M13*IF(OR(P13="Decommission",P13=""),'⚙️ Rate Card'!C29,IF(P13="EC2 (Lift &amp; Shift)",'⚙️ Rate Card'!C25,IF(P13="AWS QuickSight",'⚙️ Rate Card'!C27,IF(P13="Power BI",'⚙️ Rate Card'!C28,IF(P13="Custom Reporting Solution",'⚙️ Rate Card'!C26,0)))))+IF(B13="",0,'⚙️ Rate Card'!C33+(D13/100)*'⚙️ Rate Card'!C34)+((D13/100)*'⚙️ Rate Card'!C7+F13*'⚙️ Rate Card'!C9+G13*'⚙️ Rate Card'!C10+H13*'⚙️ Rate Card'!C11+I13*'⚙️ Rate Card'!C12+J13*'⚙️ Rate Card'!C13+K13*'⚙️ Rate Card'!C14+(D13/100)*'⚙️ Rate Card'!C8+L13*IF(OR(O13="N/A",O13="None",O13=""),0,IF(O13="High",'⚙️ Rate Card'!C20,IF(O13="Medium",'⚙️ Rate Card'!C19,'⚙️ Rate Card'!C18)))+M13*IF(OR(P13="Decommission",P13=""),'⚙️ Rate Card'!C29,IF(P13="EC2 (Lift &amp; Shift)",'⚙️ Rate Card'!C25,IF(P13="AWS QuickSight",'⚙️ Rate Card'!C27,IF(P13="Power BI",'⚙️ Rate Card'!C28,IF(P13="Custom Reporting Solution",'⚙️ Rate Card'!C26,0)))))+IF(B13="",0,'⚙️ Rate Card'!C33+(D13/100)*'⚙️ Rate Card'!C34))*'⚙️ Rate Card'!C35+((D13/100)*'⚙️ Rate Card'!C7+F13*'⚙️ Rate Card'!C9+G13*'⚙️ Rate Card'!C10+H13*'⚙️ Rate Card'!C11+I13*'⚙️ Rate Card'!C12+J13*'⚙️ Rate Card'!C13+K13*'⚙️ Rate Card'!C14+(D13/100)*'⚙️ Rate Card'!C8+L13*IF(OR(O13="N/A",O13="None",O13=""),0,IF(O13="High",'⚙️ Rate Card'!C20,IF(O13="Medium",'⚙️ Rate Card'!C19,'⚙️ Rate Card'!C18)))+M13*IF(OR(P13="Decommission",P13=""),'⚙️ Rate Card'!C29,IF(P13="EC2 (Lift &amp; Shift)",'⚙️ Rate Card'!C25,IF(P13="AWS QuickSight",'⚙️ Rate Card'!C27,IF(P13="Power BI",'⚙️ Rate Card'!C28,IF(P13="Custom Reporting Solution",'⚙️ Rate Card'!C26,0)))))+IF(B13="",0,'⚙️ Rate Card'!C33+(D13/100)*'⚙️ Rate Card'!C34))*'⚙️ Rate Card'!C36)</f>
        <v>0</v>
      </c>
      <c r="S13" s="34" t="n">
        <f aca="false">IF(B13="",0,(((D13/100)*'⚙️ Rate Card'!C7+F13*'⚙️ Rate Card'!C9+G13*'⚙️ Rate Card'!C10+H13*'⚙️ Rate Card'!C11+I13*'⚙️ Rate Card'!C12+J13*'⚙️ Rate Card'!C13+K13*'⚙️ Rate Card'!C14+(D13/100)*'⚙️ Rate Card'!C8+L13*IF(OR(O13="N/A",O13="None",O13=""),0,IF(O13="High",'⚙️ Rate Card'!C20,IF(O13="Medium",'⚙️ Rate Card'!C19,'⚙️ Rate Card'!C18)))+M13*IF(OR(P13="Decommission",P13=""),'⚙️ Rate Card'!C29,IF(P13="EC2 (Lift &amp; Shift)",'⚙️ Rate Card'!C25,IF(P13="AWS QuickSight",'⚙️ Rate Card'!C27,IF(P13="Power BI",'⚙️ Rate Card'!C28,IF(P13="Custom Reporting Solution",'⚙️ Rate Card'!C26,0)))))+IF(B13="",0,'⚙️ Rate Card'!C33+(D13/100)*'⚙️ Rate Card'!C34))*'⚙️ Rate Card'!C37)*(1-'📊 Dashboard'!C10/100)+(((D13/100)*'⚙️ Rate Card'!C7+F13*'⚙️ Rate Card'!C9+G13*'⚙️ Rate Card'!C10+H13*'⚙️ Rate Card'!C11+I13*'⚙️ Rate Card'!C12+J13*'⚙️ Rate Card'!C13+K13*'⚙️ Rate Card'!C14+(D13/100)*'⚙️ Rate Card'!C8+(D13/100)*'⚙️ Rate Card'!C8))*(1-'📊 Dashboard'!C10/100)+(L13*IF(OR(O13="N/A",O13="None",O13=""),0,IF(O13="High",'⚙️ Rate Card'!C20,IF(O13="Medium",'⚙️ Rate Card'!C19,'⚙️ Rate Card'!C18))))*(1-'📊 Dashboard'!C11/100)+(M13*IF(OR(P13="Decommission",P13=""),'⚙️ Rate Card'!C29,IF(P13="EC2 (Lift &amp; Shift)",'⚙️ Rate Card'!C25,IF(P13="AWS QuickSight",'⚙️ Rate Card'!C27,IF(P13="Power BI",'⚙️ Rate Card'!C28,IF(P13="Custom Reporting Solution",'⚙️ Rate Card'!C26,0))))))*(1-'📊 Dashboard'!C12/100)+(IF(B13="",0,'⚙️ Rate Card'!C33+(D13/100)*'⚙️ Rate Card'!C34))*(1-'📊 Dashboard'!C10/100)+(((D13/100)*'⚙️ Rate Card'!C7+F13*'⚙️ Rate Card'!C9+G13*'⚙️ Rate Card'!C10+H13*'⚙️ Rate Card'!C11+I13*'⚙️ Rate Card'!C12+J13*'⚙️ Rate Card'!C13+K13*'⚙️ Rate Card'!C14+(D13/100)*'⚙️ Rate Card'!C8+L13*IF(OR(O13="N/A",O13="None",O13=""),0,IF(O13="High",'⚙️ Rate Card'!C20,IF(O13="Medium",'⚙️ Rate Card'!C19,'⚙️ Rate Card'!C18)))+M13*IF(OR(P13="Decommission",P13=""),'⚙️ Rate Card'!C29,IF(P13="EC2 (Lift &amp; Shift)",'⚙️ Rate Card'!C25,IF(P13="AWS QuickSight",'⚙️ Rate Card'!C27,IF(P13="Power BI",'⚙️ Rate Card'!C28,IF(P13="Custom Reporting Solution",'⚙️ Rate Card'!C26,0)))))+IF(B13="",0,'⚙️ Rate Card'!C33+(D13/100)*'⚙️ Rate Card'!C34))*'⚙️ Rate Card'!C35)*(1-'📊 Dashboard'!C13/100)+(((D13/100)*'⚙️ Rate Card'!C7+F13*'⚙️ Rate Card'!C9+G13*'⚙️ Rate Card'!C10+H13*'⚙️ Rate Card'!C11+I13*'⚙️ Rate Card'!C12+J13*'⚙️ Rate Card'!C13+K13*'⚙️ Rate Card'!C14+(D13/100)*'⚙️ Rate Card'!C8+L13*IF(OR(O13="N/A",O13="None",O13=""),0,IF(O13="High",'⚙️ Rate Card'!C20,IF(O13="Medium",'⚙️ Rate Card'!C19,'⚙️ Rate Card'!C18)))+M13*IF(OR(P13="Decommission",P13=""),'⚙️ Rate Card'!C29,IF(P13="EC2 (Lift &amp; Shift)",'⚙️ Rate Card'!C25,IF(P13="AWS QuickSight",'⚙️ Rate Card'!C27,IF(P13="Power BI",'⚙️ Rate Card'!C28,IF(P13="Custom Reporting Solution",'⚙️ Rate Card'!C26,0)))))+IF(B13="",0,'⚙️ Rate Card'!C33+(D13/100)*'⚙️ Rate Card'!C34))*'⚙️ Rate Card'!C36)*(1-'📊 Dashboard'!C10/100))</f>
        <v>0</v>
      </c>
      <c r="T13" s="35" t="n">
        <f aca="false">IF(B13="",0,S13*(1+'📊 Dashboard'!C14/100))</f>
        <v>0</v>
      </c>
      <c r="U13" s="41" t="n">
        <f aca="false">IF(B13="",0,((D13/100)*'⚙️ Rate Card'!C7+F13*'⚙️ Rate Card'!C9+G13*'⚙️ Rate Card'!C10+H13*'⚙️ Rate Card'!C11+I13*'⚙️ Rate Card'!C12+J13*'⚙️ Rate Card'!C13+K13*'⚙️ Rate Card'!C14+(D13/100)*'⚙️ Rate Card'!C8+L13*IF(OR(O13="N/A",O13="None",O13=""),0,IF(O13="High",'⚙️ Rate Card'!C20,IF(O13="Medium",'⚙️ Rate Card'!C19,'⚙️ Rate Card'!C18)))+M13*IF(OR(P13="Decommission",P13=""),'⚙️ Rate Card'!C29,IF(P13="EC2 (Lift &amp; Shift)",'⚙️ Rate Card'!C25,IF(P13="AWS QuickSight",'⚙️ Rate Card'!C27,IF(P13="Power BI",'⚙️ Rate Card'!C28,IF(P13="Custom Reporting Solution",'⚙️ Rate Card'!C26,0)))))+IF(B13="",0,'⚙️ Rate Card'!C33+(D13/100)*'⚙️ Rate Card'!C34))*'⚙️ Rate Card'!C37)</f>
        <v>0</v>
      </c>
      <c r="V13" s="41" t="n">
        <f aca="false">IF(B13="",0,(D13/100)*'⚙️ Rate Card'!C7+F13*'⚙️ Rate Card'!C9+G13*'⚙️ Rate Card'!C10+H13*'⚙️ Rate Card'!C11+I13*'⚙️ Rate Card'!C12+J13*'⚙️ Rate Card'!C13+K13*'⚙️ Rate Card'!C14+(D13/100)*'⚙️ Rate Card'!C8+(D13/100)*'⚙️ Rate Card'!C8)</f>
        <v>0</v>
      </c>
      <c r="W13" s="41" t="n">
        <f aca="false">IF(B13="",0,L13*IF(OR(O13="N/A",O13="None",O13=""),0,IF(O13="High",'⚙️ Rate Card'!C20,IF(O13="Medium",'⚙️ Rate Card'!C19,'⚙️ Rate Card'!C18))))</f>
        <v>0</v>
      </c>
      <c r="X13" s="41" t="n">
        <f aca="false">IF(B13="",0,M13*IF(OR(P13="Decommission",P13=""),'⚙️ Rate Card'!C29,IF(P13="EC2 (Lift &amp; Shift)",'⚙️ Rate Card'!C25,IF(P13="AWS QuickSight",'⚙️ Rate Card'!C27,IF(P13="Power BI",'⚙️ Rate Card'!C28,IF(P13="Custom Reporting Solution",'⚙️ Rate Card'!C26,0))))))</f>
        <v>0</v>
      </c>
      <c r="Y13" s="41" t="n">
        <f aca="false">IF(B13="",0,IF(B13="",0,'⚙️ Rate Card'!C33+(D13/100)*'⚙️ Rate Card'!C34))</f>
        <v>0</v>
      </c>
      <c r="Z13" s="41" t="n">
        <f aca="false">IF(B13="",0,((D13/100)*'⚙️ Rate Card'!C7+F13*'⚙️ Rate Card'!C9+G13*'⚙️ Rate Card'!C10+H13*'⚙️ Rate Card'!C11+I13*'⚙️ Rate Card'!C12+J13*'⚙️ Rate Card'!C13+K13*'⚙️ Rate Card'!C14+(D13/100)*'⚙️ Rate Card'!C8+L13*IF(OR(O13="N/A",O13="None",O13=""),0,IF(O13="High",'⚙️ Rate Card'!C20,IF(O13="Medium",'⚙️ Rate Card'!C19,'⚙️ Rate Card'!C18)))+M13*IF(OR(P13="Decommission",P13=""),'⚙️ Rate Card'!C29,IF(P13="EC2 (Lift &amp; Shift)",'⚙️ Rate Card'!C25,IF(P13="AWS QuickSight",'⚙️ Rate Card'!C27,IF(P13="Power BI",'⚙️ Rate Card'!C28,IF(P13="Custom Reporting Solution",'⚙️ Rate Card'!C26,0)))))+IF(B13="",0,'⚙️ Rate Card'!C33+(D13/100)*'⚙️ Rate Card'!C34))*'⚙️ Rate Card'!C35)</f>
        <v>0</v>
      </c>
      <c r="AA13" s="41" t="n">
        <f aca="false">IF(B13="",0,((D13/100)*'⚙️ Rate Card'!C7+F13*'⚙️ Rate Card'!C9+G13*'⚙️ Rate Card'!C10+H13*'⚙️ Rate Card'!C11+I13*'⚙️ Rate Card'!C12+J13*'⚙️ Rate Card'!C13+K13*'⚙️ Rate Card'!C14+(D13/100)*'⚙️ Rate Card'!C8+L13*IF(OR(O13="N/A",O13="None",O13=""),0,IF(O13="High",'⚙️ Rate Card'!C20,IF(O13="Medium",'⚙️ Rate Card'!C19,'⚙️ Rate Card'!C18)))+M13*IF(OR(P13="Decommission",P13=""),'⚙️ Rate Card'!C29,IF(P13="EC2 (Lift &amp; Shift)",'⚙️ Rate Card'!C25,IF(P13="AWS QuickSight",'⚙️ Rate Card'!C27,IF(P13="Power BI",'⚙️ Rate Card'!C28,IF(P13="Custom Reporting Solution",'⚙️ Rate Card'!C26,0)))))+IF(B13="",0,'⚙️ Rate Card'!C33+(D13/100)*'⚙️ Rate Card'!C34))*'⚙️ Rate Card'!C36)</f>
        <v>0</v>
      </c>
      <c r="AB13" s="37" t="n">
        <f aca="false">'✏️ SME Input'!T14</f>
        <v>0</v>
      </c>
      <c r="AC13" s="41" t="n">
        <f aca="false">IF(B13="",0,AB13*0.75)</f>
        <v>0</v>
      </c>
      <c r="AD13" s="41" t="n">
        <f aca="false">IF(B13="",0,AB13*0.75)</f>
        <v>0</v>
      </c>
      <c r="AE13" s="41" t="n">
        <f aca="false">IF(B13="",0,AB13*0.75)</f>
        <v>0</v>
      </c>
      <c r="AF13" s="41" t="n">
        <f aca="false">IF(B13="",0,AB13*2.25)</f>
        <v>0</v>
      </c>
      <c r="AG13" s="41" t="n">
        <f aca="false">IF(B13="",0,((D13/100)*'⚙️ Rate Card'!C7+F13*'⚙️ Rate Card'!C9+G13*'⚙️ Rate Card'!C10+H13*'⚙️ Rate Card'!C11+I13*'⚙️ Rate Card'!C12+J13*'⚙️ Rate Card'!C13+K13*'⚙️ Rate Card'!C14+(D13/100)*'⚙️ Rate Card'!C8)*0.4)</f>
        <v>0</v>
      </c>
      <c r="AH13" s="41" t="n">
        <f aca="false">IF(B13="",0,((D13/100)*'⚙️ Rate Card'!C7+F13*'⚙️ Rate Card'!C9+G13*'⚙️ Rate Card'!C10+H13*'⚙️ Rate Card'!C11+I13*'⚙️ Rate Card'!C12+J13*'⚙️ Rate Card'!C13+K13*'⚙️ Rate Card'!C14+(D13/100)*'⚙️ Rate Card'!C8)*0.4)</f>
        <v>0</v>
      </c>
      <c r="AI13" s="41" t="n">
        <f aca="false">IF(B13="",0,((D13/100)*'⚙️ Rate Card'!C7+F13*'⚙️ Rate Card'!C9+G13*'⚙️ Rate Card'!C10+H13*'⚙️ Rate Card'!C11+I13*'⚙️ Rate Card'!C12+J13*'⚙️ Rate Card'!C13+K13*'⚙️ Rate Card'!C14+(D13/100)*'⚙️ Rate Card'!C8)*0.2)</f>
        <v>0</v>
      </c>
      <c r="AJ13" s="41" t="n">
        <f aca="false">IF(B13="",0,(L13*IF(OR(O13="N/A",O13="None",O13=""),0,IF(O13="High",'⚙️ Rate Card'!C20,IF(O13="Medium",'⚙️ Rate Card'!C19,'⚙️ Rate Card'!C18))))*0.5)</f>
        <v>0</v>
      </c>
      <c r="AK13" s="41" t="n">
        <f aca="false">IF(B13="",0,(L13*IF(OR(O13="N/A",O13="None",O13=""),0,IF(O13="High",'⚙️ Rate Card'!C20,IF(O13="Medium",'⚙️ Rate Card'!C19,'⚙️ Rate Card'!C18))))*0.35)</f>
        <v>0</v>
      </c>
      <c r="AL13" s="41" t="n">
        <f aca="false">IF(B13="",0,(L13*IF(OR(O13="N/A",O13="None",O13=""),0,IF(O13="High",'⚙️ Rate Card'!C20,IF(O13="Medium",'⚙️ Rate Card'!C19,'⚙️ Rate Card'!C18))))*0.15)</f>
        <v>0</v>
      </c>
      <c r="AM13" s="35" t="n">
        <f aca="false">IF(B13="",0,AG13+AJ13+(M13*IF(OR(P13="Decommission",P13=""),'⚙️ Rate Card'!C29,IF(P13="EC2 (Lift &amp; Shift)",'⚙️ Rate Card'!C25,IF(P13="AWS QuickSight",'⚙️ Rate Card'!C27,IF(P13="Power BI",'⚙️ Rate Card'!C28,IF(P13="Custom Reporting Solution",'⚙️ Rate Card'!C26,0))))))*0.4+(IF(B13="",0,'⚙️ Rate Card'!C33+(D13/100)*'⚙️ Rate Card'!C34))*0.4+AC13+(((D13/100)*'⚙️ Rate Card'!C7+F13*'⚙️ Rate Card'!C9+G13*'⚙️ Rate Card'!C10+H13*'⚙️ Rate Card'!C11+I13*'⚙️ Rate Card'!C12+J13*'⚙️ Rate Card'!C13+K13*'⚙️ Rate Card'!C14+(D13/100)*'⚙️ Rate Card'!C8+L13*IF(OR(O13="N/A",O13="None",O13=""),0,IF(O13="High",'⚙️ Rate Card'!C20,IF(O13="Medium",'⚙️ Rate Card'!C19,'⚙️ Rate Card'!C18)))+M13*IF(OR(P13="Decommission",P13=""),'⚙️ Rate Card'!C29,IF(P13="EC2 (Lift &amp; Shift)",'⚙️ Rate Card'!C25,IF(P13="AWS QuickSight",'⚙️ Rate Card'!C27,IF(P13="Power BI",'⚙️ Rate Card'!C28,IF(P13="Custom Reporting Solution",'⚙️ Rate Card'!C26,0)))))+IF(B13="",0,'⚙️ Rate Card'!C33+(D13/100)*'⚙️ Rate Card'!C34)))*'⚙️ Rate Card'!C35*0.4+(((D13/100)*'⚙️ Rate Card'!C7+F13*'⚙️ Rate Card'!C9+G13*'⚙️ Rate Card'!C10+H13*'⚙️ Rate Card'!C11+I13*'⚙️ Rate Card'!C12+J13*'⚙️ Rate Card'!C13+K13*'⚙️ Rate Card'!C14+(D13/100)*'⚙️ Rate Card'!C8+L13*IF(OR(O13="N/A",O13="None",O13=""),0,IF(O13="High",'⚙️ Rate Card'!C20,IF(O13="Medium",'⚙️ Rate Card'!C19,'⚙️ Rate Card'!C18)))+M13*IF(OR(P13="Decommission",P13=""),'⚙️ Rate Card'!C29,IF(P13="EC2 (Lift &amp; Shift)",'⚙️ Rate Card'!C25,IF(P13="AWS QuickSight",'⚙️ Rate Card'!C27,IF(P13="Power BI",'⚙️ Rate Card'!C28,IF(P13="Custom Reporting Solution",'⚙️ Rate Card'!C26,0)))))+IF(B13="",0,'⚙️ Rate Card'!C33+(D13/100)*'⚙️ Rate Card'!C34)))*'⚙️ Rate Card'!C36*0.4+(((D13/100)*'⚙️ Rate Card'!C7+F13*'⚙️ Rate Card'!C9+G13*'⚙️ Rate Card'!C10+H13*'⚙️ Rate Card'!C11+I13*'⚙️ Rate Card'!C12+J13*'⚙️ Rate Card'!C13+K13*'⚙️ Rate Card'!C14+(D13/100)*'⚙️ Rate Card'!C8+L13*IF(OR(O13="N/A",O13="None",O13=""),0,IF(O13="High",'⚙️ Rate Card'!C20,IF(O13="Medium",'⚙️ Rate Card'!C19,'⚙️ Rate Card'!C18)))+M13*IF(OR(P13="Decommission",P13=""),'⚙️ Rate Card'!C29,IF(P13="EC2 (Lift &amp; Shift)",'⚙️ Rate Card'!C25,IF(P13="AWS QuickSight",'⚙️ Rate Card'!C27,IF(P13="Power BI",'⚙️ Rate Card'!C28,IF(P13="Custom Reporting Solution",'⚙️ Rate Card'!C26,0)))))+IF(B13="",0,'⚙️ Rate Card'!C33+(D13/100)*'⚙️ Rate Card'!C34)))*'⚙️ Rate Card'!C37*0.4)</f>
        <v>0</v>
      </c>
      <c r="AN13" s="38" t="n">
        <f aca="false">IF(B13="",0,AH13+AK13+(M13*IF(OR(P13="Decommission",P13=""),'⚙️ Rate Card'!C29,IF(P13="EC2 (Lift &amp; Shift)",'⚙️ Rate Card'!C25,IF(P13="AWS QuickSight",'⚙️ Rate Card'!C27,IF(P13="Power BI",'⚙️ Rate Card'!C28,IF(P13="Custom Reporting Solution",'⚙️ Rate Card'!C26,0))))))*0.4+(IF(B13="",0,'⚙️ Rate Card'!C33+(D13/100)*'⚙️ Rate Card'!C34))*0.4+AD13+(((D13/100)*'⚙️ Rate Card'!C7+F13*'⚙️ Rate Card'!C9+G13*'⚙️ Rate Card'!C10+H13*'⚙️ Rate Card'!C11+I13*'⚙️ Rate Card'!C12+J13*'⚙️ Rate Card'!C13+K13*'⚙️ Rate Card'!C14+(D13/100)*'⚙️ Rate Card'!C8+L13*IF(OR(O13="N/A",O13="None",O13=""),0,IF(O13="High",'⚙️ Rate Card'!C20,IF(O13="Medium",'⚙️ Rate Card'!C19,'⚙️ Rate Card'!C18)))+M13*IF(OR(P13="Decommission",P13=""),'⚙️ Rate Card'!C29,IF(P13="EC2 (Lift &amp; Shift)",'⚙️ Rate Card'!C25,IF(P13="AWS QuickSight",'⚙️ Rate Card'!C27,IF(P13="Power BI",'⚙️ Rate Card'!C28,IF(P13="Custom Reporting Solution",'⚙️ Rate Card'!C26,0)))))+IF(B13="",0,'⚙️ Rate Card'!C33+(D13/100)*'⚙️ Rate Card'!C34)))*'⚙️ Rate Card'!C35*0.4+(((D13/100)*'⚙️ Rate Card'!C7+F13*'⚙️ Rate Card'!C9+G13*'⚙️ Rate Card'!C10+H13*'⚙️ Rate Card'!C11+I13*'⚙️ Rate Card'!C12+J13*'⚙️ Rate Card'!C13+K13*'⚙️ Rate Card'!C14+(D13/100)*'⚙️ Rate Card'!C8+L13*IF(OR(O13="N/A",O13="None",O13=""),0,IF(O13="High",'⚙️ Rate Card'!C20,IF(O13="Medium",'⚙️ Rate Card'!C19,'⚙️ Rate Card'!C18)))+M13*IF(OR(P13="Decommission",P13=""),'⚙️ Rate Card'!C29,IF(P13="EC2 (Lift &amp; Shift)",'⚙️ Rate Card'!C25,IF(P13="AWS QuickSight",'⚙️ Rate Card'!C27,IF(P13="Power BI",'⚙️ Rate Card'!C28,IF(P13="Custom Reporting Solution",'⚙️ Rate Card'!C26,0)))))+IF(B13="",0,'⚙️ Rate Card'!C33+(D13/100)*'⚙️ Rate Card'!C34)))*'⚙️ Rate Card'!C36*0.4+(((D13/100)*'⚙️ Rate Card'!C7+F13*'⚙️ Rate Card'!C9+G13*'⚙️ Rate Card'!C10+H13*'⚙️ Rate Card'!C11+I13*'⚙️ Rate Card'!C12+J13*'⚙️ Rate Card'!C13+K13*'⚙️ Rate Card'!C14+(D13/100)*'⚙️ Rate Card'!C8+L13*IF(OR(O13="N/A",O13="None",O13=""),0,IF(O13="High",'⚙️ Rate Card'!C20,IF(O13="Medium",'⚙️ Rate Card'!C19,'⚙️ Rate Card'!C18)))+M13*IF(OR(P13="Decommission",P13=""),'⚙️ Rate Card'!C29,IF(P13="EC2 (Lift &amp; Shift)",'⚙️ Rate Card'!C25,IF(P13="AWS QuickSight",'⚙️ Rate Card'!C27,IF(P13="Power BI",'⚙️ Rate Card'!C28,IF(P13="Custom Reporting Solution",'⚙️ Rate Card'!C26,0)))))+IF(B13="",0,'⚙️ Rate Card'!C33+(D13/100)*'⚙️ Rate Card'!C34)))*'⚙️ Rate Card'!C37*0.4)</f>
        <v>0</v>
      </c>
      <c r="AO13" s="39" t="n">
        <f aca="false">IF(B13="",0,AI13+AL13+(M13*IF(OR(P13="Decommission",P13=""),'⚙️ Rate Card'!C29,IF(P13="EC2 (Lift &amp; Shift)",'⚙️ Rate Card'!C25,IF(P13="AWS QuickSight",'⚙️ Rate Card'!C27,IF(P13="Power BI",'⚙️ Rate Card'!C28,IF(P13="Custom Reporting Solution",'⚙️ Rate Card'!C26,0))))))*0.2+(IF(B13="",0,'⚙️ Rate Card'!C33+(D13/100)*'⚙️ Rate Card'!C34))*0.2+AE13+(((D13/100)*'⚙️ Rate Card'!C7+F13*'⚙️ Rate Card'!C9+G13*'⚙️ Rate Card'!C10+H13*'⚙️ Rate Card'!C11+I13*'⚙️ Rate Card'!C12+J13*'⚙️ Rate Card'!C13+K13*'⚙️ Rate Card'!C14+(D13/100)*'⚙️ Rate Card'!C8+L13*IF(OR(O13="N/A",O13="None",O13=""),0,IF(O13="High",'⚙️ Rate Card'!C20,IF(O13="Medium",'⚙️ Rate Card'!C19,'⚙️ Rate Card'!C18)))+M13*IF(OR(P13="Decommission",P13=""),'⚙️ Rate Card'!C29,IF(P13="EC2 (Lift &amp; Shift)",'⚙️ Rate Card'!C25,IF(P13="AWS QuickSight",'⚙️ Rate Card'!C27,IF(P13="Power BI",'⚙️ Rate Card'!C28,IF(P13="Custom Reporting Solution",'⚙️ Rate Card'!C26,0)))))+IF(B13="",0,'⚙️ Rate Card'!C33+(D13/100)*'⚙️ Rate Card'!C34)))*'⚙️ Rate Card'!C35*0.2+(((D13/100)*'⚙️ Rate Card'!C7+F13*'⚙️ Rate Card'!C9+G13*'⚙️ Rate Card'!C10+H13*'⚙️ Rate Card'!C11+I13*'⚙️ Rate Card'!C12+J13*'⚙️ Rate Card'!C13+K13*'⚙️ Rate Card'!C14+(D13/100)*'⚙️ Rate Card'!C8+L13*IF(OR(O13="N/A",O13="None",O13=""),0,IF(O13="High",'⚙️ Rate Card'!C20,IF(O13="Medium",'⚙️ Rate Card'!C19,'⚙️ Rate Card'!C18)))+M13*IF(OR(P13="Decommission",P13=""),'⚙️ Rate Card'!C29,IF(P13="EC2 (Lift &amp; Shift)",'⚙️ Rate Card'!C25,IF(P13="AWS QuickSight",'⚙️ Rate Card'!C27,IF(P13="Power BI",'⚙️ Rate Card'!C28,IF(P13="Custom Reporting Solution",'⚙️ Rate Card'!C26,0)))))+IF(B13="",0,'⚙️ Rate Card'!C33+(D13/100)*'⚙️ Rate Card'!C34)))*'⚙️ Rate Card'!C36*0.2+(((D13/100)*'⚙️ Rate Card'!C7+F13*'⚙️ Rate Card'!C9+G13*'⚙️ Rate Card'!C10+H13*'⚙️ Rate Card'!C11+I13*'⚙️ Rate Card'!C12+J13*'⚙️ Rate Card'!C13+K13*'⚙️ Rate Card'!C14+(D13/100)*'⚙️ Rate Card'!C8+L13*IF(OR(O13="N/A",O13="None",O13=""),0,IF(O13="High",'⚙️ Rate Card'!C20,IF(O13="Medium",'⚙️ Rate Card'!C19,'⚙️ Rate Card'!C18)))+M13*IF(OR(P13="Decommission",P13=""),'⚙️ Rate Card'!C29,IF(P13="EC2 (Lift &amp; Shift)",'⚙️ Rate Card'!C25,IF(P13="AWS QuickSight",'⚙️ Rate Card'!C27,IF(P13="Power BI",'⚙️ Rate Card'!C28,IF(P13="Custom Reporting Solution",'⚙️ Rate Card'!C26,0)))))+IF(B13="",0,'⚙️ Rate Card'!C33+(D13/100)*'⚙️ Rate Card'!C34)))*'⚙️ Rate Card'!C37*0.2)</f>
        <v>0</v>
      </c>
      <c r="AP13" s="42" t="n">
        <f aca="false">'✏️ SME Input'!B14</f>
        <v>0</v>
      </c>
      <c r="AQ13" s="42" t="n">
        <f aca="false">'✏️ SME Input'!C14</f>
        <v>0</v>
      </c>
      <c r="AR13" s="42" t="n">
        <f aca="false">'✏️ SME Input'!D14</f>
        <v>0</v>
      </c>
    </row>
    <row r="14" customFormat="false" ht="18" hidden="false" customHeight="true" outlineLevel="0" collapsed="false">
      <c r="B14" s="30" t="n">
        <f aca="false">'✏️ SME Input'!E15</f>
        <v>0</v>
      </c>
      <c r="C14" s="31" t="str">
        <f aca="false">IF(B14="","",IF(D14&gt;1000,"T3 Complex",IF(D14&gt;500,"T2 Moderate","T1 Simple")))</f>
        <v/>
      </c>
      <c r="D14" s="32" t="n">
        <f aca="false">'✏️ SME Input'!G15</f>
        <v>0</v>
      </c>
      <c r="E14" s="32" t="n">
        <f aca="false">'✏️ SME Input'!H15</f>
        <v>0</v>
      </c>
      <c r="F14" s="32" t="n">
        <f aca="false">'✏️ SME Input'!I15</f>
        <v>0</v>
      </c>
      <c r="G14" s="32" t="n">
        <f aca="false">'✏️ SME Input'!J15</f>
        <v>0</v>
      </c>
      <c r="H14" s="32" t="n">
        <f aca="false">'✏️ SME Input'!K15</f>
        <v>0</v>
      </c>
      <c r="I14" s="32" t="n">
        <f aca="false">'✏️ SME Input'!L15</f>
        <v>0</v>
      </c>
      <c r="J14" s="32" t="n">
        <f aca="false">'✏️ SME Input'!M15</f>
        <v>0</v>
      </c>
      <c r="K14" s="32" t="n">
        <f aca="false">'✏️ SME Input'!N15</f>
        <v>0</v>
      </c>
      <c r="L14" s="32" t="n">
        <f aca="false">'✏️ SME Input'!O15</f>
        <v>0</v>
      </c>
      <c r="M14" s="32" t="n">
        <f aca="false">'✏️ SME Input'!P15</f>
        <v>0</v>
      </c>
      <c r="N14" s="17" t="n">
        <f aca="false">'✏️ SME Input'!Q15</f>
        <v>0</v>
      </c>
      <c r="O14" s="33" t="n">
        <f aca="false">'✏️ SME Input'!R15</f>
        <v>0</v>
      </c>
      <c r="P14" s="33" t="n">
        <f aca="false">'✏️ SME Input'!S15</f>
        <v>0</v>
      </c>
      <c r="Q14" s="32" t="n">
        <f aca="false">'✏️ SME Input'!F15</f>
        <v>0</v>
      </c>
      <c r="R14" s="34" t="n">
        <f aca="false">IF(B14="",0,((D14/100)*'⚙️ Rate Card'!C7+F14*'⚙️ Rate Card'!C9+G14*'⚙️ Rate Card'!C10+H14*'⚙️ Rate Card'!C11+I14*'⚙️ Rate Card'!C12+J14*'⚙️ Rate Card'!C13+K14*'⚙️ Rate Card'!C14+(D14/100)*'⚙️ Rate Card'!C8+L14*IF(OR(O14="N/A",O14="None",O14=""),0,IF(O14="High",'⚙️ Rate Card'!C20,IF(O14="Medium",'⚙️ Rate Card'!C19,'⚙️ Rate Card'!C18)))+M14*IF(OR(P14="Decommission",P14=""),'⚙️ Rate Card'!C29,IF(P14="EC2 (Lift &amp; Shift)",'⚙️ Rate Card'!C25,IF(P14="AWS QuickSight",'⚙️ Rate Card'!C27,IF(P14="Power BI",'⚙️ Rate Card'!C28,IF(P14="Custom Reporting Solution",'⚙️ Rate Card'!C26,0)))))+IF(B14="",0,'⚙️ Rate Card'!C33+(D14/100)*'⚙️ Rate Card'!C34))*'⚙️ Rate Card'!C37+(D14/100)*'⚙️ Rate Card'!C7+F14*'⚙️ Rate Card'!C9+G14*'⚙️ Rate Card'!C10+H14*'⚙️ Rate Card'!C11+I14*'⚙️ Rate Card'!C12+J14*'⚙️ Rate Card'!C13+K14*'⚙️ Rate Card'!C14+(D14/100)*'⚙️ Rate Card'!C8+(D14/100)*'⚙️ Rate Card'!C8+L14*IF(OR(O14="N/A",O14="None",O14=""),0,IF(O14="High",'⚙️ Rate Card'!C20,IF(O14="Medium",'⚙️ Rate Card'!C19,'⚙️ Rate Card'!C18)))+M14*IF(OR(P14="Decommission",P14=""),'⚙️ Rate Card'!C29,IF(P14="EC2 (Lift &amp; Shift)",'⚙️ Rate Card'!C25,IF(P14="AWS QuickSight",'⚙️ Rate Card'!C27,IF(P14="Power BI",'⚙️ Rate Card'!C28,IF(P14="Custom Reporting Solution",'⚙️ Rate Card'!C26,0)))))+IF(B14="",0,'⚙️ Rate Card'!C33+(D14/100)*'⚙️ Rate Card'!C34)+((D14/100)*'⚙️ Rate Card'!C7+F14*'⚙️ Rate Card'!C9+G14*'⚙️ Rate Card'!C10+H14*'⚙️ Rate Card'!C11+I14*'⚙️ Rate Card'!C12+J14*'⚙️ Rate Card'!C13+K14*'⚙️ Rate Card'!C14+(D14/100)*'⚙️ Rate Card'!C8+L14*IF(OR(O14="N/A",O14="None",O14=""),0,IF(O14="High",'⚙️ Rate Card'!C20,IF(O14="Medium",'⚙️ Rate Card'!C19,'⚙️ Rate Card'!C18)))+M14*IF(OR(P14="Decommission",P14=""),'⚙️ Rate Card'!C29,IF(P14="EC2 (Lift &amp; Shift)",'⚙️ Rate Card'!C25,IF(P14="AWS QuickSight",'⚙️ Rate Card'!C27,IF(P14="Power BI",'⚙️ Rate Card'!C28,IF(P14="Custom Reporting Solution",'⚙️ Rate Card'!C26,0)))))+IF(B14="",0,'⚙️ Rate Card'!C33+(D14/100)*'⚙️ Rate Card'!C34))*'⚙️ Rate Card'!C35+((D14/100)*'⚙️ Rate Card'!C7+F14*'⚙️ Rate Card'!C9+G14*'⚙️ Rate Card'!C10+H14*'⚙️ Rate Card'!C11+I14*'⚙️ Rate Card'!C12+J14*'⚙️ Rate Card'!C13+K14*'⚙️ Rate Card'!C14+(D14/100)*'⚙️ Rate Card'!C8+L14*IF(OR(O14="N/A",O14="None",O14=""),0,IF(O14="High",'⚙️ Rate Card'!C20,IF(O14="Medium",'⚙️ Rate Card'!C19,'⚙️ Rate Card'!C18)))+M14*IF(OR(P14="Decommission",P14=""),'⚙️ Rate Card'!C29,IF(P14="EC2 (Lift &amp; Shift)",'⚙️ Rate Card'!C25,IF(P14="AWS QuickSight",'⚙️ Rate Card'!C27,IF(P14="Power BI",'⚙️ Rate Card'!C28,IF(P14="Custom Reporting Solution",'⚙️ Rate Card'!C26,0)))))+IF(B14="",0,'⚙️ Rate Card'!C33+(D14/100)*'⚙️ Rate Card'!C34))*'⚙️ Rate Card'!C36)</f>
        <v>0</v>
      </c>
      <c r="S14" s="34" t="n">
        <f aca="false">IF(B14="",0,(((D14/100)*'⚙️ Rate Card'!C7+F14*'⚙️ Rate Card'!C9+G14*'⚙️ Rate Card'!C10+H14*'⚙️ Rate Card'!C11+I14*'⚙️ Rate Card'!C12+J14*'⚙️ Rate Card'!C13+K14*'⚙️ Rate Card'!C14+(D14/100)*'⚙️ Rate Card'!C8+L14*IF(OR(O14="N/A",O14="None",O14=""),0,IF(O14="High",'⚙️ Rate Card'!C20,IF(O14="Medium",'⚙️ Rate Card'!C19,'⚙️ Rate Card'!C18)))+M14*IF(OR(P14="Decommission",P14=""),'⚙️ Rate Card'!C29,IF(P14="EC2 (Lift &amp; Shift)",'⚙️ Rate Card'!C25,IF(P14="AWS QuickSight",'⚙️ Rate Card'!C27,IF(P14="Power BI",'⚙️ Rate Card'!C28,IF(P14="Custom Reporting Solution",'⚙️ Rate Card'!C26,0)))))+IF(B14="",0,'⚙️ Rate Card'!C33+(D14/100)*'⚙️ Rate Card'!C34))*'⚙️ Rate Card'!C37)*(1-'📊 Dashboard'!C10/100)+(((D14/100)*'⚙️ Rate Card'!C7+F14*'⚙️ Rate Card'!C9+G14*'⚙️ Rate Card'!C10+H14*'⚙️ Rate Card'!C11+I14*'⚙️ Rate Card'!C12+J14*'⚙️ Rate Card'!C13+K14*'⚙️ Rate Card'!C14+(D14/100)*'⚙️ Rate Card'!C8+(D14/100)*'⚙️ Rate Card'!C8))*(1-'📊 Dashboard'!C10/100)+(L14*IF(OR(O14="N/A",O14="None",O14=""),0,IF(O14="High",'⚙️ Rate Card'!C20,IF(O14="Medium",'⚙️ Rate Card'!C19,'⚙️ Rate Card'!C18))))*(1-'📊 Dashboard'!C11/100)+(M14*IF(OR(P14="Decommission",P14=""),'⚙️ Rate Card'!C29,IF(P14="EC2 (Lift &amp; Shift)",'⚙️ Rate Card'!C25,IF(P14="AWS QuickSight",'⚙️ Rate Card'!C27,IF(P14="Power BI",'⚙️ Rate Card'!C28,IF(P14="Custom Reporting Solution",'⚙️ Rate Card'!C26,0))))))*(1-'📊 Dashboard'!C12/100)+(IF(B14="",0,'⚙️ Rate Card'!C33+(D14/100)*'⚙️ Rate Card'!C34))*(1-'📊 Dashboard'!C10/100)+(((D14/100)*'⚙️ Rate Card'!C7+F14*'⚙️ Rate Card'!C9+G14*'⚙️ Rate Card'!C10+H14*'⚙️ Rate Card'!C11+I14*'⚙️ Rate Card'!C12+J14*'⚙️ Rate Card'!C13+K14*'⚙️ Rate Card'!C14+(D14/100)*'⚙️ Rate Card'!C8+L14*IF(OR(O14="N/A",O14="None",O14=""),0,IF(O14="High",'⚙️ Rate Card'!C20,IF(O14="Medium",'⚙️ Rate Card'!C19,'⚙️ Rate Card'!C18)))+M14*IF(OR(P14="Decommission",P14=""),'⚙️ Rate Card'!C29,IF(P14="EC2 (Lift &amp; Shift)",'⚙️ Rate Card'!C25,IF(P14="AWS QuickSight",'⚙️ Rate Card'!C27,IF(P14="Power BI",'⚙️ Rate Card'!C28,IF(P14="Custom Reporting Solution",'⚙️ Rate Card'!C26,0)))))+IF(B14="",0,'⚙️ Rate Card'!C33+(D14/100)*'⚙️ Rate Card'!C34))*'⚙️ Rate Card'!C35)*(1-'📊 Dashboard'!C13/100)+(((D14/100)*'⚙️ Rate Card'!C7+F14*'⚙️ Rate Card'!C9+G14*'⚙️ Rate Card'!C10+H14*'⚙️ Rate Card'!C11+I14*'⚙️ Rate Card'!C12+J14*'⚙️ Rate Card'!C13+K14*'⚙️ Rate Card'!C14+(D14/100)*'⚙️ Rate Card'!C8+L14*IF(OR(O14="N/A",O14="None",O14=""),0,IF(O14="High",'⚙️ Rate Card'!C20,IF(O14="Medium",'⚙️ Rate Card'!C19,'⚙️ Rate Card'!C18)))+M14*IF(OR(P14="Decommission",P14=""),'⚙️ Rate Card'!C29,IF(P14="EC2 (Lift &amp; Shift)",'⚙️ Rate Card'!C25,IF(P14="AWS QuickSight",'⚙️ Rate Card'!C27,IF(P14="Power BI",'⚙️ Rate Card'!C28,IF(P14="Custom Reporting Solution",'⚙️ Rate Card'!C26,0)))))+IF(B14="",0,'⚙️ Rate Card'!C33+(D14/100)*'⚙️ Rate Card'!C34))*'⚙️ Rate Card'!C36)*(1-'📊 Dashboard'!C10/100))</f>
        <v>0</v>
      </c>
      <c r="T14" s="35" t="n">
        <f aca="false">IF(B14="",0,S14*(1+'📊 Dashboard'!C14/100))</f>
        <v>0</v>
      </c>
      <c r="U14" s="36" t="n">
        <f aca="false">IF(B14="",0,((D14/100)*'⚙️ Rate Card'!C7+F14*'⚙️ Rate Card'!C9+G14*'⚙️ Rate Card'!C10+H14*'⚙️ Rate Card'!C11+I14*'⚙️ Rate Card'!C12+J14*'⚙️ Rate Card'!C13+K14*'⚙️ Rate Card'!C14+(D14/100)*'⚙️ Rate Card'!C8+L14*IF(OR(O14="N/A",O14="None",O14=""),0,IF(O14="High",'⚙️ Rate Card'!C20,IF(O14="Medium",'⚙️ Rate Card'!C19,'⚙️ Rate Card'!C18)))+M14*IF(OR(P14="Decommission",P14=""),'⚙️ Rate Card'!C29,IF(P14="EC2 (Lift &amp; Shift)",'⚙️ Rate Card'!C25,IF(P14="AWS QuickSight",'⚙️ Rate Card'!C27,IF(P14="Power BI",'⚙️ Rate Card'!C28,IF(P14="Custom Reporting Solution",'⚙️ Rate Card'!C26,0)))))+IF(B14="",0,'⚙️ Rate Card'!C33+(D14/100)*'⚙️ Rate Card'!C34))*'⚙️ Rate Card'!C37)</f>
        <v>0</v>
      </c>
      <c r="V14" s="36" t="n">
        <f aca="false">IF(B14="",0,(D14/100)*'⚙️ Rate Card'!C7+F14*'⚙️ Rate Card'!C9+G14*'⚙️ Rate Card'!C10+H14*'⚙️ Rate Card'!C11+I14*'⚙️ Rate Card'!C12+J14*'⚙️ Rate Card'!C13+K14*'⚙️ Rate Card'!C14+(D14/100)*'⚙️ Rate Card'!C8+(D14/100)*'⚙️ Rate Card'!C8)</f>
        <v>0</v>
      </c>
      <c r="W14" s="36" t="n">
        <f aca="false">IF(B14="",0,L14*IF(OR(O14="N/A",O14="None",O14=""),0,IF(O14="High",'⚙️ Rate Card'!C20,IF(O14="Medium",'⚙️ Rate Card'!C19,'⚙️ Rate Card'!C18))))</f>
        <v>0</v>
      </c>
      <c r="X14" s="36" t="n">
        <f aca="false">IF(B14="",0,M14*IF(OR(P14="Decommission",P14=""),'⚙️ Rate Card'!C29,IF(P14="EC2 (Lift &amp; Shift)",'⚙️ Rate Card'!C25,IF(P14="AWS QuickSight",'⚙️ Rate Card'!C27,IF(P14="Power BI",'⚙️ Rate Card'!C28,IF(P14="Custom Reporting Solution",'⚙️ Rate Card'!C26,0))))))</f>
        <v>0</v>
      </c>
      <c r="Y14" s="36" t="n">
        <f aca="false">IF(B14="",0,IF(B14="",0,'⚙️ Rate Card'!C33+(D14/100)*'⚙️ Rate Card'!C34))</f>
        <v>0</v>
      </c>
      <c r="Z14" s="36" t="n">
        <f aca="false">IF(B14="",0,((D14/100)*'⚙️ Rate Card'!C7+F14*'⚙️ Rate Card'!C9+G14*'⚙️ Rate Card'!C10+H14*'⚙️ Rate Card'!C11+I14*'⚙️ Rate Card'!C12+J14*'⚙️ Rate Card'!C13+K14*'⚙️ Rate Card'!C14+(D14/100)*'⚙️ Rate Card'!C8+L14*IF(OR(O14="N/A",O14="None",O14=""),0,IF(O14="High",'⚙️ Rate Card'!C20,IF(O14="Medium",'⚙️ Rate Card'!C19,'⚙️ Rate Card'!C18)))+M14*IF(OR(P14="Decommission",P14=""),'⚙️ Rate Card'!C29,IF(P14="EC2 (Lift &amp; Shift)",'⚙️ Rate Card'!C25,IF(P14="AWS QuickSight",'⚙️ Rate Card'!C27,IF(P14="Power BI",'⚙️ Rate Card'!C28,IF(P14="Custom Reporting Solution",'⚙️ Rate Card'!C26,0)))))+IF(B14="",0,'⚙️ Rate Card'!C33+(D14/100)*'⚙️ Rate Card'!C34))*'⚙️ Rate Card'!C35)</f>
        <v>0</v>
      </c>
      <c r="AA14" s="36" t="n">
        <f aca="false">IF(B14="",0,((D14/100)*'⚙️ Rate Card'!C7+F14*'⚙️ Rate Card'!C9+G14*'⚙️ Rate Card'!C10+H14*'⚙️ Rate Card'!C11+I14*'⚙️ Rate Card'!C12+J14*'⚙️ Rate Card'!C13+K14*'⚙️ Rate Card'!C14+(D14/100)*'⚙️ Rate Card'!C8+L14*IF(OR(O14="N/A",O14="None",O14=""),0,IF(O14="High",'⚙️ Rate Card'!C20,IF(O14="Medium",'⚙️ Rate Card'!C19,'⚙️ Rate Card'!C18)))+M14*IF(OR(P14="Decommission",P14=""),'⚙️ Rate Card'!C29,IF(P14="EC2 (Lift &amp; Shift)",'⚙️ Rate Card'!C25,IF(P14="AWS QuickSight",'⚙️ Rate Card'!C27,IF(P14="Power BI",'⚙️ Rate Card'!C28,IF(P14="Custom Reporting Solution",'⚙️ Rate Card'!C26,0)))))+IF(B14="",0,'⚙️ Rate Card'!C33+(D14/100)*'⚙️ Rate Card'!C34))*'⚙️ Rate Card'!C36)</f>
        <v>0</v>
      </c>
      <c r="AB14" s="37" t="n">
        <f aca="false">'✏️ SME Input'!T15</f>
        <v>0</v>
      </c>
      <c r="AC14" s="36" t="n">
        <f aca="false">IF(B14="",0,AB14*0.75)</f>
        <v>0</v>
      </c>
      <c r="AD14" s="36" t="n">
        <f aca="false">IF(B14="",0,AB14*0.75)</f>
        <v>0</v>
      </c>
      <c r="AE14" s="36" t="n">
        <f aca="false">IF(B14="",0,AB14*0.75)</f>
        <v>0</v>
      </c>
      <c r="AF14" s="36" t="n">
        <f aca="false">IF(B14="",0,AB14*2.25)</f>
        <v>0</v>
      </c>
      <c r="AG14" s="36" t="n">
        <f aca="false">IF(B14="",0,((D14/100)*'⚙️ Rate Card'!C7+F14*'⚙️ Rate Card'!C9+G14*'⚙️ Rate Card'!C10+H14*'⚙️ Rate Card'!C11+I14*'⚙️ Rate Card'!C12+J14*'⚙️ Rate Card'!C13+K14*'⚙️ Rate Card'!C14+(D14/100)*'⚙️ Rate Card'!C8)*0.4)</f>
        <v>0</v>
      </c>
      <c r="AH14" s="36" t="n">
        <f aca="false">IF(B14="",0,((D14/100)*'⚙️ Rate Card'!C7+F14*'⚙️ Rate Card'!C9+G14*'⚙️ Rate Card'!C10+H14*'⚙️ Rate Card'!C11+I14*'⚙️ Rate Card'!C12+J14*'⚙️ Rate Card'!C13+K14*'⚙️ Rate Card'!C14+(D14/100)*'⚙️ Rate Card'!C8)*0.4)</f>
        <v>0</v>
      </c>
      <c r="AI14" s="36" t="n">
        <f aca="false">IF(B14="",0,((D14/100)*'⚙️ Rate Card'!C7+F14*'⚙️ Rate Card'!C9+G14*'⚙️ Rate Card'!C10+H14*'⚙️ Rate Card'!C11+I14*'⚙️ Rate Card'!C12+J14*'⚙️ Rate Card'!C13+K14*'⚙️ Rate Card'!C14+(D14/100)*'⚙️ Rate Card'!C8)*0.2)</f>
        <v>0</v>
      </c>
      <c r="AJ14" s="36" t="n">
        <f aca="false">IF(B14="",0,(L14*IF(OR(O14="N/A",O14="None",O14=""),0,IF(O14="High",'⚙️ Rate Card'!C20,IF(O14="Medium",'⚙️ Rate Card'!C19,'⚙️ Rate Card'!C18))))*0.5)</f>
        <v>0</v>
      </c>
      <c r="AK14" s="36" t="n">
        <f aca="false">IF(B14="",0,(L14*IF(OR(O14="N/A",O14="None",O14=""),0,IF(O14="High",'⚙️ Rate Card'!C20,IF(O14="Medium",'⚙️ Rate Card'!C19,'⚙️ Rate Card'!C18))))*0.35)</f>
        <v>0</v>
      </c>
      <c r="AL14" s="36" t="n">
        <f aca="false">IF(B14="",0,(L14*IF(OR(O14="N/A",O14="None",O14=""),0,IF(O14="High",'⚙️ Rate Card'!C20,IF(O14="Medium",'⚙️ Rate Card'!C19,'⚙️ Rate Card'!C18))))*0.15)</f>
        <v>0</v>
      </c>
      <c r="AM14" s="35" t="n">
        <f aca="false">IF(B14="",0,AG14+AJ14+(M14*IF(OR(P14="Decommission",P14=""),'⚙️ Rate Card'!C29,IF(P14="EC2 (Lift &amp; Shift)",'⚙️ Rate Card'!C25,IF(P14="AWS QuickSight",'⚙️ Rate Card'!C27,IF(P14="Power BI",'⚙️ Rate Card'!C28,IF(P14="Custom Reporting Solution",'⚙️ Rate Card'!C26,0))))))*0.4+(IF(B14="",0,'⚙️ Rate Card'!C33+(D14/100)*'⚙️ Rate Card'!C34))*0.4+AC14+(((D14/100)*'⚙️ Rate Card'!C7+F14*'⚙️ Rate Card'!C9+G14*'⚙️ Rate Card'!C10+H14*'⚙️ Rate Card'!C11+I14*'⚙️ Rate Card'!C12+J14*'⚙️ Rate Card'!C13+K14*'⚙️ Rate Card'!C14+(D14/100)*'⚙️ Rate Card'!C8+L14*IF(OR(O14="N/A",O14="None",O14=""),0,IF(O14="High",'⚙️ Rate Card'!C20,IF(O14="Medium",'⚙️ Rate Card'!C19,'⚙️ Rate Card'!C18)))+M14*IF(OR(P14="Decommission",P14=""),'⚙️ Rate Card'!C29,IF(P14="EC2 (Lift &amp; Shift)",'⚙️ Rate Card'!C25,IF(P14="AWS QuickSight",'⚙️ Rate Card'!C27,IF(P14="Power BI",'⚙️ Rate Card'!C28,IF(P14="Custom Reporting Solution",'⚙️ Rate Card'!C26,0)))))+IF(B14="",0,'⚙️ Rate Card'!C33+(D14/100)*'⚙️ Rate Card'!C34)))*'⚙️ Rate Card'!C35*0.4+(((D14/100)*'⚙️ Rate Card'!C7+F14*'⚙️ Rate Card'!C9+G14*'⚙️ Rate Card'!C10+H14*'⚙️ Rate Card'!C11+I14*'⚙️ Rate Card'!C12+J14*'⚙️ Rate Card'!C13+K14*'⚙️ Rate Card'!C14+(D14/100)*'⚙️ Rate Card'!C8+L14*IF(OR(O14="N/A",O14="None",O14=""),0,IF(O14="High",'⚙️ Rate Card'!C20,IF(O14="Medium",'⚙️ Rate Card'!C19,'⚙️ Rate Card'!C18)))+M14*IF(OR(P14="Decommission",P14=""),'⚙️ Rate Card'!C29,IF(P14="EC2 (Lift &amp; Shift)",'⚙️ Rate Card'!C25,IF(P14="AWS QuickSight",'⚙️ Rate Card'!C27,IF(P14="Power BI",'⚙️ Rate Card'!C28,IF(P14="Custom Reporting Solution",'⚙️ Rate Card'!C26,0)))))+IF(B14="",0,'⚙️ Rate Card'!C33+(D14/100)*'⚙️ Rate Card'!C34)))*'⚙️ Rate Card'!C36*0.4+(((D14/100)*'⚙️ Rate Card'!C7+F14*'⚙️ Rate Card'!C9+G14*'⚙️ Rate Card'!C10+H14*'⚙️ Rate Card'!C11+I14*'⚙️ Rate Card'!C12+J14*'⚙️ Rate Card'!C13+K14*'⚙️ Rate Card'!C14+(D14/100)*'⚙️ Rate Card'!C8+L14*IF(OR(O14="N/A",O14="None",O14=""),0,IF(O14="High",'⚙️ Rate Card'!C20,IF(O14="Medium",'⚙️ Rate Card'!C19,'⚙️ Rate Card'!C18)))+M14*IF(OR(P14="Decommission",P14=""),'⚙️ Rate Card'!C29,IF(P14="EC2 (Lift &amp; Shift)",'⚙️ Rate Card'!C25,IF(P14="AWS QuickSight",'⚙️ Rate Card'!C27,IF(P14="Power BI",'⚙️ Rate Card'!C28,IF(P14="Custom Reporting Solution",'⚙️ Rate Card'!C26,0)))))+IF(B14="",0,'⚙️ Rate Card'!C33+(D14/100)*'⚙️ Rate Card'!C34)))*'⚙️ Rate Card'!C37*0.4)</f>
        <v>0</v>
      </c>
      <c r="AN14" s="38" t="n">
        <f aca="false">IF(B14="",0,AH14+AK14+(M14*IF(OR(P14="Decommission",P14=""),'⚙️ Rate Card'!C29,IF(P14="EC2 (Lift &amp; Shift)",'⚙️ Rate Card'!C25,IF(P14="AWS QuickSight",'⚙️ Rate Card'!C27,IF(P14="Power BI",'⚙️ Rate Card'!C28,IF(P14="Custom Reporting Solution",'⚙️ Rate Card'!C26,0))))))*0.4+(IF(B14="",0,'⚙️ Rate Card'!C33+(D14/100)*'⚙️ Rate Card'!C34))*0.4+AD14+(((D14/100)*'⚙️ Rate Card'!C7+F14*'⚙️ Rate Card'!C9+G14*'⚙️ Rate Card'!C10+H14*'⚙️ Rate Card'!C11+I14*'⚙️ Rate Card'!C12+J14*'⚙️ Rate Card'!C13+K14*'⚙️ Rate Card'!C14+(D14/100)*'⚙️ Rate Card'!C8+L14*IF(OR(O14="N/A",O14="None",O14=""),0,IF(O14="High",'⚙️ Rate Card'!C20,IF(O14="Medium",'⚙️ Rate Card'!C19,'⚙️ Rate Card'!C18)))+M14*IF(OR(P14="Decommission",P14=""),'⚙️ Rate Card'!C29,IF(P14="EC2 (Lift &amp; Shift)",'⚙️ Rate Card'!C25,IF(P14="AWS QuickSight",'⚙️ Rate Card'!C27,IF(P14="Power BI",'⚙️ Rate Card'!C28,IF(P14="Custom Reporting Solution",'⚙️ Rate Card'!C26,0)))))+IF(B14="",0,'⚙️ Rate Card'!C33+(D14/100)*'⚙️ Rate Card'!C34)))*'⚙️ Rate Card'!C35*0.4+(((D14/100)*'⚙️ Rate Card'!C7+F14*'⚙️ Rate Card'!C9+G14*'⚙️ Rate Card'!C10+H14*'⚙️ Rate Card'!C11+I14*'⚙️ Rate Card'!C12+J14*'⚙️ Rate Card'!C13+K14*'⚙️ Rate Card'!C14+(D14/100)*'⚙️ Rate Card'!C8+L14*IF(OR(O14="N/A",O14="None",O14=""),0,IF(O14="High",'⚙️ Rate Card'!C20,IF(O14="Medium",'⚙️ Rate Card'!C19,'⚙️ Rate Card'!C18)))+M14*IF(OR(P14="Decommission",P14=""),'⚙️ Rate Card'!C29,IF(P14="EC2 (Lift &amp; Shift)",'⚙️ Rate Card'!C25,IF(P14="AWS QuickSight",'⚙️ Rate Card'!C27,IF(P14="Power BI",'⚙️ Rate Card'!C28,IF(P14="Custom Reporting Solution",'⚙️ Rate Card'!C26,0)))))+IF(B14="",0,'⚙️ Rate Card'!C33+(D14/100)*'⚙️ Rate Card'!C34)))*'⚙️ Rate Card'!C36*0.4+(((D14/100)*'⚙️ Rate Card'!C7+F14*'⚙️ Rate Card'!C9+G14*'⚙️ Rate Card'!C10+H14*'⚙️ Rate Card'!C11+I14*'⚙️ Rate Card'!C12+J14*'⚙️ Rate Card'!C13+K14*'⚙️ Rate Card'!C14+(D14/100)*'⚙️ Rate Card'!C8+L14*IF(OR(O14="N/A",O14="None",O14=""),0,IF(O14="High",'⚙️ Rate Card'!C20,IF(O14="Medium",'⚙️ Rate Card'!C19,'⚙️ Rate Card'!C18)))+M14*IF(OR(P14="Decommission",P14=""),'⚙️ Rate Card'!C29,IF(P14="EC2 (Lift &amp; Shift)",'⚙️ Rate Card'!C25,IF(P14="AWS QuickSight",'⚙️ Rate Card'!C27,IF(P14="Power BI",'⚙️ Rate Card'!C28,IF(P14="Custom Reporting Solution",'⚙️ Rate Card'!C26,0)))))+IF(B14="",0,'⚙️ Rate Card'!C33+(D14/100)*'⚙️ Rate Card'!C34)))*'⚙️ Rate Card'!C37*0.4)</f>
        <v>0</v>
      </c>
      <c r="AO14" s="39" t="n">
        <f aca="false">IF(B14="",0,AI14+AL14+(M14*IF(OR(P14="Decommission",P14=""),'⚙️ Rate Card'!C29,IF(P14="EC2 (Lift &amp; Shift)",'⚙️ Rate Card'!C25,IF(P14="AWS QuickSight",'⚙️ Rate Card'!C27,IF(P14="Power BI",'⚙️ Rate Card'!C28,IF(P14="Custom Reporting Solution",'⚙️ Rate Card'!C26,0))))))*0.2+(IF(B14="",0,'⚙️ Rate Card'!C33+(D14/100)*'⚙️ Rate Card'!C34))*0.2+AE14+(((D14/100)*'⚙️ Rate Card'!C7+F14*'⚙️ Rate Card'!C9+G14*'⚙️ Rate Card'!C10+H14*'⚙️ Rate Card'!C11+I14*'⚙️ Rate Card'!C12+J14*'⚙️ Rate Card'!C13+K14*'⚙️ Rate Card'!C14+(D14/100)*'⚙️ Rate Card'!C8+L14*IF(OR(O14="N/A",O14="None",O14=""),0,IF(O14="High",'⚙️ Rate Card'!C20,IF(O14="Medium",'⚙️ Rate Card'!C19,'⚙️ Rate Card'!C18)))+M14*IF(OR(P14="Decommission",P14=""),'⚙️ Rate Card'!C29,IF(P14="EC2 (Lift &amp; Shift)",'⚙️ Rate Card'!C25,IF(P14="AWS QuickSight",'⚙️ Rate Card'!C27,IF(P14="Power BI",'⚙️ Rate Card'!C28,IF(P14="Custom Reporting Solution",'⚙️ Rate Card'!C26,0)))))+IF(B14="",0,'⚙️ Rate Card'!C33+(D14/100)*'⚙️ Rate Card'!C34)))*'⚙️ Rate Card'!C35*0.2+(((D14/100)*'⚙️ Rate Card'!C7+F14*'⚙️ Rate Card'!C9+G14*'⚙️ Rate Card'!C10+H14*'⚙️ Rate Card'!C11+I14*'⚙️ Rate Card'!C12+J14*'⚙️ Rate Card'!C13+K14*'⚙️ Rate Card'!C14+(D14/100)*'⚙️ Rate Card'!C8+L14*IF(OR(O14="N/A",O14="None",O14=""),0,IF(O14="High",'⚙️ Rate Card'!C20,IF(O14="Medium",'⚙️ Rate Card'!C19,'⚙️ Rate Card'!C18)))+M14*IF(OR(P14="Decommission",P14=""),'⚙️ Rate Card'!C29,IF(P14="EC2 (Lift &amp; Shift)",'⚙️ Rate Card'!C25,IF(P14="AWS QuickSight",'⚙️ Rate Card'!C27,IF(P14="Power BI",'⚙️ Rate Card'!C28,IF(P14="Custom Reporting Solution",'⚙️ Rate Card'!C26,0)))))+IF(B14="",0,'⚙️ Rate Card'!C33+(D14/100)*'⚙️ Rate Card'!C34)))*'⚙️ Rate Card'!C36*0.2+(((D14/100)*'⚙️ Rate Card'!C7+F14*'⚙️ Rate Card'!C9+G14*'⚙️ Rate Card'!C10+H14*'⚙️ Rate Card'!C11+I14*'⚙️ Rate Card'!C12+J14*'⚙️ Rate Card'!C13+K14*'⚙️ Rate Card'!C14+(D14/100)*'⚙️ Rate Card'!C8+L14*IF(OR(O14="N/A",O14="None",O14=""),0,IF(O14="High",'⚙️ Rate Card'!C20,IF(O14="Medium",'⚙️ Rate Card'!C19,'⚙️ Rate Card'!C18)))+M14*IF(OR(P14="Decommission",P14=""),'⚙️ Rate Card'!C29,IF(P14="EC2 (Lift &amp; Shift)",'⚙️ Rate Card'!C25,IF(P14="AWS QuickSight",'⚙️ Rate Card'!C27,IF(P14="Power BI",'⚙️ Rate Card'!C28,IF(P14="Custom Reporting Solution",'⚙️ Rate Card'!C26,0)))))+IF(B14="",0,'⚙️ Rate Card'!C33+(D14/100)*'⚙️ Rate Card'!C34)))*'⚙️ Rate Card'!C37*0.2)</f>
        <v>0</v>
      </c>
      <c r="AP14" s="37" t="n">
        <f aca="false">'✏️ SME Input'!B15</f>
        <v>0</v>
      </c>
      <c r="AQ14" s="37" t="n">
        <f aca="false">'✏️ SME Input'!C15</f>
        <v>0</v>
      </c>
      <c r="AR14" s="37" t="n">
        <f aca="false">'✏️ SME Input'!D15</f>
        <v>0</v>
      </c>
    </row>
    <row r="15" customFormat="false" ht="18" hidden="false" customHeight="true" outlineLevel="0" collapsed="false">
      <c r="B15" s="40" t="n">
        <f aca="false">'✏️ SME Input'!E16</f>
        <v>0</v>
      </c>
      <c r="C15" s="31" t="str">
        <f aca="false">IF(B15="","",IF(D15&gt;1000,"T3 Complex",IF(D15&gt;500,"T2 Moderate","T1 Simple")))</f>
        <v/>
      </c>
      <c r="D15" s="32" t="n">
        <f aca="false">'✏️ SME Input'!G16</f>
        <v>0</v>
      </c>
      <c r="E15" s="32" t="n">
        <f aca="false">'✏️ SME Input'!H16</f>
        <v>0</v>
      </c>
      <c r="F15" s="32" t="n">
        <f aca="false">'✏️ SME Input'!I16</f>
        <v>0</v>
      </c>
      <c r="G15" s="32" t="n">
        <f aca="false">'✏️ SME Input'!J16</f>
        <v>0</v>
      </c>
      <c r="H15" s="32" t="n">
        <f aca="false">'✏️ SME Input'!K16</f>
        <v>0</v>
      </c>
      <c r="I15" s="32" t="n">
        <f aca="false">'✏️ SME Input'!L16</f>
        <v>0</v>
      </c>
      <c r="J15" s="32" t="n">
        <f aca="false">'✏️ SME Input'!M16</f>
        <v>0</v>
      </c>
      <c r="K15" s="32" t="n">
        <f aca="false">'✏️ SME Input'!N16</f>
        <v>0</v>
      </c>
      <c r="L15" s="32" t="n">
        <f aca="false">'✏️ SME Input'!O16</f>
        <v>0</v>
      </c>
      <c r="M15" s="32" t="n">
        <f aca="false">'✏️ SME Input'!P16</f>
        <v>0</v>
      </c>
      <c r="N15" s="17" t="n">
        <f aca="false">'✏️ SME Input'!Q16</f>
        <v>0</v>
      </c>
      <c r="O15" s="33" t="n">
        <f aca="false">'✏️ SME Input'!R16</f>
        <v>0</v>
      </c>
      <c r="P15" s="33" t="n">
        <f aca="false">'✏️ SME Input'!S16</f>
        <v>0</v>
      </c>
      <c r="Q15" s="32" t="n">
        <f aca="false">'✏️ SME Input'!F16</f>
        <v>0</v>
      </c>
      <c r="R15" s="34" t="n">
        <f aca="false">IF(B15="",0,((D15/100)*'⚙️ Rate Card'!C7+F15*'⚙️ Rate Card'!C9+G15*'⚙️ Rate Card'!C10+H15*'⚙️ Rate Card'!C11+I15*'⚙️ Rate Card'!C12+J15*'⚙️ Rate Card'!C13+K15*'⚙️ Rate Card'!C14+(D15/100)*'⚙️ Rate Card'!C8+L15*IF(OR(O15="N/A",O15="None",O15=""),0,IF(O15="High",'⚙️ Rate Card'!C20,IF(O15="Medium",'⚙️ Rate Card'!C19,'⚙️ Rate Card'!C18)))+M15*IF(OR(P15="Decommission",P15=""),'⚙️ Rate Card'!C29,IF(P15="EC2 (Lift &amp; Shift)",'⚙️ Rate Card'!C25,IF(P15="AWS QuickSight",'⚙️ Rate Card'!C27,IF(P15="Power BI",'⚙️ Rate Card'!C28,IF(P15="Custom Reporting Solution",'⚙️ Rate Card'!C26,0)))))+IF(B15="",0,'⚙️ Rate Card'!C33+(D15/100)*'⚙️ Rate Card'!C34))*'⚙️ Rate Card'!C37+(D15/100)*'⚙️ Rate Card'!C7+F15*'⚙️ Rate Card'!C9+G15*'⚙️ Rate Card'!C10+H15*'⚙️ Rate Card'!C11+I15*'⚙️ Rate Card'!C12+J15*'⚙️ Rate Card'!C13+K15*'⚙️ Rate Card'!C14+(D15/100)*'⚙️ Rate Card'!C8+(D15/100)*'⚙️ Rate Card'!C8+L15*IF(OR(O15="N/A",O15="None",O15=""),0,IF(O15="High",'⚙️ Rate Card'!C20,IF(O15="Medium",'⚙️ Rate Card'!C19,'⚙️ Rate Card'!C18)))+M15*IF(OR(P15="Decommission",P15=""),'⚙️ Rate Card'!C29,IF(P15="EC2 (Lift &amp; Shift)",'⚙️ Rate Card'!C25,IF(P15="AWS QuickSight",'⚙️ Rate Card'!C27,IF(P15="Power BI",'⚙️ Rate Card'!C28,IF(P15="Custom Reporting Solution",'⚙️ Rate Card'!C26,0)))))+IF(B15="",0,'⚙️ Rate Card'!C33+(D15/100)*'⚙️ Rate Card'!C34)+((D15/100)*'⚙️ Rate Card'!C7+F15*'⚙️ Rate Card'!C9+G15*'⚙️ Rate Card'!C10+H15*'⚙️ Rate Card'!C11+I15*'⚙️ Rate Card'!C12+J15*'⚙️ Rate Card'!C13+K15*'⚙️ Rate Card'!C14+(D15/100)*'⚙️ Rate Card'!C8+L15*IF(OR(O15="N/A",O15="None",O15=""),0,IF(O15="High",'⚙️ Rate Card'!C20,IF(O15="Medium",'⚙️ Rate Card'!C19,'⚙️ Rate Card'!C18)))+M15*IF(OR(P15="Decommission",P15=""),'⚙️ Rate Card'!C29,IF(P15="EC2 (Lift &amp; Shift)",'⚙️ Rate Card'!C25,IF(P15="AWS QuickSight",'⚙️ Rate Card'!C27,IF(P15="Power BI",'⚙️ Rate Card'!C28,IF(P15="Custom Reporting Solution",'⚙️ Rate Card'!C26,0)))))+IF(B15="",0,'⚙️ Rate Card'!C33+(D15/100)*'⚙️ Rate Card'!C34))*'⚙️ Rate Card'!C35+((D15/100)*'⚙️ Rate Card'!C7+F15*'⚙️ Rate Card'!C9+G15*'⚙️ Rate Card'!C10+H15*'⚙️ Rate Card'!C11+I15*'⚙️ Rate Card'!C12+J15*'⚙️ Rate Card'!C13+K15*'⚙️ Rate Card'!C14+(D15/100)*'⚙️ Rate Card'!C8+L15*IF(OR(O15="N/A",O15="None",O15=""),0,IF(O15="High",'⚙️ Rate Card'!C20,IF(O15="Medium",'⚙️ Rate Card'!C19,'⚙️ Rate Card'!C18)))+M15*IF(OR(P15="Decommission",P15=""),'⚙️ Rate Card'!C29,IF(P15="EC2 (Lift &amp; Shift)",'⚙️ Rate Card'!C25,IF(P15="AWS QuickSight",'⚙️ Rate Card'!C27,IF(P15="Power BI",'⚙️ Rate Card'!C28,IF(P15="Custom Reporting Solution",'⚙️ Rate Card'!C26,0)))))+IF(B15="",0,'⚙️ Rate Card'!C33+(D15/100)*'⚙️ Rate Card'!C34))*'⚙️ Rate Card'!C36)</f>
        <v>0</v>
      </c>
      <c r="S15" s="34" t="n">
        <f aca="false">IF(B15="",0,(((D15/100)*'⚙️ Rate Card'!C7+F15*'⚙️ Rate Card'!C9+G15*'⚙️ Rate Card'!C10+H15*'⚙️ Rate Card'!C11+I15*'⚙️ Rate Card'!C12+J15*'⚙️ Rate Card'!C13+K15*'⚙️ Rate Card'!C14+(D15/100)*'⚙️ Rate Card'!C8+L15*IF(OR(O15="N/A",O15="None",O15=""),0,IF(O15="High",'⚙️ Rate Card'!C20,IF(O15="Medium",'⚙️ Rate Card'!C19,'⚙️ Rate Card'!C18)))+M15*IF(OR(P15="Decommission",P15=""),'⚙️ Rate Card'!C29,IF(P15="EC2 (Lift &amp; Shift)",'⚙️ Rate Card'!C25,IF(P15="AWS QuickSight",'⚙️ Rate Card'!C27,IF(P15="Power BI",'⚙️ Rate Card'!C28,IF(P15="Custom Reporting Solution",'⚙️ Rate Card'!C26,0)))))+IF(B15="",0,'⚙️ Rate Card'!C33+(D15/100)*'⚙️ Rate Card'!C34))*'⚙️ Rate Card'!C37)*(1-'📊 Dashboard'!C10/100)+(((D15/100)*'⚙️ Rate Card'!C7+F15*'⚙️ Rate Card'!C9+G15*'⚙️ Rate Card'!C10+H15*'⚙️ Rate Card'!C11+I15*'⚙️ Rate Card'!C12+J15*'⚙️ Rate Card'!C13+K15*'⚙️ Rate Card'!C14+(D15/100)*'⚙️ Rate Card'!C8+(D15/100)*'⚙️ Rate Card'!C8))*(1-'📊 Dashboard'!C10/100)+(L15*IF(OR(O15="N/A",O15="None",O15=""),0,IF(O15="High",'⚙️ Rate Card'!C20,IF(O15="Medium",'⚙️ Rate Card'!C19,'⚙️ Rate Card'!C18))))*(1-'📊 Dashboard'!C11/100)+(M15*IF(OR(P15="Decommission",P15=""),'⚙️ Rate Card'!C29,IF(P15="EC2 (Lift &amp; Shift)",'⚙️ Rate Card'!C25,IF(P15="AWS QuickSight",'⚙️ Rate Card'!C27,IF(P15="Power BI",'⚙️ Rate Card'!C28,IF(P15="Custom Reporting Solution",'⚙️ Rate Card'!C26,0))))))*(1-'📊 Dashboard'!C12/100)+(IF(B15="",0,'⚙️ Rate Card'!C33+(D15/100)*'⚙️ Rate Card'!C34))*(1-'📊 Dashboard'!C10/100)+(((D15/100)*'⚙️ Rate Card'!C7+F15*'⚙️ Rate Card'!C9+G15*'⚙️ Rate Card'!C10+H15*'⚙️ Rate Card'!C11+I15*'⚙️ Rate Card'!C12+J15*'⚙️ Rate Card'!C13+K15*'⚙️ Rate Card'!C14+(D15/100)*'⚙️ Rate Card'!C8+L15*IF(OR(O15="N/A",O15="None",O15=""),0,IF(O15="High",'⚙️ Rate Card'!C20,IF(O15="Medium",'⚙️ Rate Card'!C19,'⚙️ Rate Card'!C18)))+M15*IF(OR(P15="Decommission",P15=""),'⚙️ Rate Card'!C29,IF(P15="EC2 (Lift &amp; Shift)",'⚙️ Rate Card'!C25,IF(P15="AWS QuickSight",'⚙️ Rate Card'!C27,IF(P15="Power BI",'⚙️ Rate Card'!C28,IF(P15="Custom Reporting Solution",'⚙️ Rate Card'!C26,0)))))+IF(B15="",0,'⚙️ Rate Card'!C33+(D15/100)*'⚙️ Rate Card'!C34))*'⚙️ Rate Card'!C35)*(1-'📊 Dashboard'!C13/100)+(((D15/100)*'⚙️ Rate Card'!C7+F15*'⚙️ Rate Card'!C9+G15*'⚙️ Rate Card'!C10+H15*'⚙️ Rate Card'!C11+I15*'⚙️ Rate Card'!C12+J15*'⚙️ Rate Card'!C13+K15*'⚙️ Rate Card'!C14+(D15/100)*'⚙️ Rate Card'!C8+L15*IF(OR(O15="N/A",O15="None",O15=""),0,IF(O15="High",'⚙️ Rate Card'!C20,IF(O15="Medium",'⚙️ Rate Card'!C19,'⚙️ Rate Card'!C18)))+M15*IF(OR(P15="Decommission",P15=""),'⚙️ Rate Card'!C29,IF(P15="EC2 (Lift &amp; Shift)",'⚙️ Rate Card'!C25,IF(P15="AWS QuickSight",'⚙️ Rate Card'!C27,IF(P15="Power BI",'⚙️ Rate Card'!C28,IF(P15="Custom Reporting Solution",'⚙️ Rate Card'!C26,0)))))+IF(B15="",0,'⚙️ Rate Card'!C33+(D15/100)*'⚙️ Rate Card'!C34))*'⚙️ Rate Card'!C36)*(1-'📊 Dashboard'!C10/100))</f>
        <v>0</v>
      </c>
      <c r="T15" s="35" t="n">
        <f aca="false">IF(B15="",0,S15*(1+'📊 Dashboard'!C14/100))</f>
        <v>0</v>
      </c>
      <c r="U15" s="41" t="n">
        <f aca="false">IF(B15="",0,((D15/100)*'⚙️ Rate Card'!C7+F15*'⚙️ Rate Card'!C9+G15*'⚙️ Rate Card'!C10+H15*'⚙️ Rate Card'!C11+I15*'⚙️ Rate Card'!C12+J15*'⚙️ Rate Card'!C13+K15*'⚙️ Rate Card'!C14+(D15/100)*'⚙️ Rate Card'!C8+L15*IF(OR(O15="N/A",O15="None",O15=""),0,IF(O15="High",'⚙️ Rate Card'!C20,IF(O15="Medium",'⚙️ Rate Card'!C19,'⚙️ Rate Card'!C18)))+M15*IF(OR(P15="Decommission",P15=""),'⚙️ Rate Card'!C29,IF(P15="EC2 (Lift &amp; Shift)",'⚙️ Rate Card'!C25,IF(P15="AWS QuickSight",'⚙️ Rate Card'!C27,IF(P15="Power BI",'⚙️ Rate Card'!C28,IF(P15="Custom Reporting Solution",'⚙️ Rate Card'!C26,0)))))+IF(B15="",0,'⚙️ Rate Card'!C33+(D15/100)*'⚙️ Rate Card'!C34))*'⚙️ Rate Card'!C37)</f>
        <v>0</v>
      </c>
      <c r="V15" s="41" t="n">
        <f aca="false">IF(B15="",0,(D15/100)*'⚙️ Rate Card'!C7+F15*'⚙️ Rate Card'!C9+G15*'⚙️ Rate Card'!C10+H15*'⚙️ Rate Card'!C11+I15*'⚙️ Rate Card'!C12+J15*'⚙️ Rate Card'!C13+K15*'⚙️ Rate Card'!C14+(D15/100)*'⚙️ Rate Card'!C8+(D15/100)*'⚙️ Rate Card'!C8)</f>
        <v>0</v>
      </c>
      <c r="W15" s="41" t="n">
        <f aca="false">IF(B15="",0,L15*IF(OR(O15="N/A",O15="None",O15=""),0,IF(O15="High",'⚙️ Rate Card'!C20,IF(O15="Medium",'⚙️ Rate Card'!C19,'⚙️ Rate Card'!C18))))</f>
        <v>0</v>
      </c>
      <c r="X15" s="41" t="n">
        <f aca="false">IF(B15="",0,M15*IF(OR(P15="Decommission",P15=""),'⚙️ Rate Card'!C29,IF(P15="EC2 (Lift &amp; Shift)",'⚙️ Rate Card'!C25,IF(P15="AWS QuickSight",'⚙️ Rate Card'!C27,IF(P15="Power BI",'⚙️ Rate Card'!C28,IF(P15="Custom Reporting Solution",'⚙️ Rate Card'!C26,0))))))</f>
        <v>0</v>
      </c>
      <c r="Y15" s="41" t="n">
        <f aca="false">IF(B15="",0,IF(B15="",0,'⚙️ Rate Card'!C33+(D15/100)*'⚙️ Rate Card'!C34))</f>
        <v>0</v>
      </c>
      <c r="Z15" s="41" t="n">
        <f aca="false">IF(B15="",0,((D15/100)*'⚙️ Rate Card'!C7+F15*'⚙️ Rate Card'!C9+G15*'⚙️ Rate Card'!C10+H15*'⚙️ Rate Card'!C11+I15*'⚙️ Rate Card'!C12+J15*'⚙️ Rate Card'!C13+K15*'⚙️ Rate Card'!C14+(D15/100)*'⚙️ Rate Card'!C8+L15*IF(OR(O15="N/A",O15="None",O15=""),0,IF(O15="High",'⚙️ Rate Card'!C20,IF(O15="Medium",'⚙️ Rate Card'!C19,'⚙️ Rate Card'!C18)))+M15*IF(OR(P15="Decommission",P15=""),'⚙️ Rate Card'!C29,IF(P15="EC2 (Lift &amp; Shift)",'⚙️ Rate Card'!C25,IF(P15="AWS QuickSight",'⚙️ Rate Card'!C27,IF(P15="Power BI",'⚙️ Rate Card'!C28,IF(P15="Custom Reporting Solution",'⚙️ Rate Card'!C26,0)))))+IF(B15="",0,'⚙️ Rate Card'!C33+(D15/100)*'⚙️ Rate Card'!C34))*'⚙️ Rate Card'!C35)</f>
        <v>0</v>
      </c>
      <c r="AA15" s="41" t="n">
        <f aca="false">IF(B15="",0,((D15/100)*'⚙️ Rate Card'!C7+F15*'⚙️ Rate Card'!C9+G15*'⚙️ Rate Card'!C10+H15*'⚙️ Rate Card'!C11+I15*'⚙️ Rate Card'!C12+J15*'⚙️ Rate Card'!C13+K15*'⚙️ Rate Card'!C14+(D15/100)*'⚙️ Rate Card'!C8+L15*IF(OR(O15="N/A",O15="None",O15=""),0,IF(O15="High",'⚙️ Rate Card'!C20,IF(O15="Medium",'⚙️ Rate Card'!C19,'⚙️ Rate Card'!C18)))+M15*IF(OR(P15="Decommission",P15=""),'⚙️ Rate Card'!C29,IF(P15="EC2 (Lift &amp; Shift)",'⚙️ Rate Card'!C25,IF(P15="AWS QuickSight",'⚙️ Rate Card'!C27,IF(P15="Power BI",'⚙️ Rate Card'!C28,IF(P15="Custom Reporting Solution",'⚙️ Rate Card'!C26,0)))))+IF(B15="",0,'⚙️ Rate Card'!C33+(D15/100)*'⚙️ Rate Card'!C34))*'⚙️ Rate Card'!C36)</f>
        <v>0</v>
      </c>
      <c r="AB15" s="37" t="n">
        <f aca="false">'✏️ SME Input'!T16</f>
        <v>0</v>
      </c>
      <c r="AC15" s="41" t="n">
        <f aca="false">IF(B15="",0,AB15*0.75)</f>
        <v>0</v>
      </c>
      <c r="AD15" s="41" t="n">
        <f aca="false">IF(B15="",0,AB15*0.75)</f>
        <v>0</v>
      </c>
      <c r="AE15" s="41" t="n">
        <f aca="false">IF(B15="",0,AB15*0.75)</f>
        <v>0</v>
      </c>
      <c r="AF15" s="41" t="n">
        <f aca="false">IF(B15="",0,AB15*2.25)</f>
        <v>0</v>
      </c>
      <c r="AG15" s="41" t="n">
        <f aca="false">IF(B15="",0,((D15/100)*'⚙️ Rate Card'!C7+F15*'⚙️ Rate Card'!C9+G15*'⚙️ Rate Card'!C10+H15*'⚙️ Rate Card'!C11+I15*'⚙️ Rate Card'!C12+J15*'⚙️ Rate Card'!C13+K15*'⚙️ Rate Card'!C14+(D15/100)*'⚙️ Rate Card'!C8)*0.4)</f>
        <v>0</v>
      </c>
      <c r="AH15" s="41" t="n">
        <f aca="false">IF(B15="",0,((D15/100)*'⚙️ Rate Card'!C7+F15*'⚙️ Rate Card'!C9+G15*'⚙️ Rate Card'!C10+H15*'⚙️ Rate Card'!C11+I15*'⚙️ Rate Card'!C12+J15*'⚙️ Rate Card'!C13+K15*'⚙️ Rate Card'!C14+(D15/100)*'⚙️ Rate Card'!C8)*0.4)</f>
        <v>0</v>
      </c>
      <c r="AI15" s="41" t="n">
        <f aca="false">IF(B15="",0,((D15/100)*'⚙️ Rate Card'!C7+F15*'⚙️ Rate Card'!C9+G15*'⚙️ Rate Card'!C10+H15*'⚙️ Rate Card'!C11+I15*'⚙️ Rate Card'!C12+J15*'⚙️ Rate Card'!C13+K15*'⚙️ Rate Card'!C14+(D15/100)*'⚙️ Rate Card'!C8)*0.2)</f>
        <v>0</v>
      </c>
      <c r="AJ15" s="41" t="n">
        <f aca="false">IF(B15="",0,(L15*IF(OR(O15="N/A",O15="None",O15=""),0,IF(O15="High",'⚙️ Rate Card'!C20,IF(O15="Medium",'⚙️ Rate Card'!C19,'⚙️ Rate Card'!C18))))*0.5)</f>
        <v>0</v>
      </c>
      <c r="AK15" s="41" t="n">
        <f aca="false">IF(B15="",0,(L15*IF(OR(O15="N/A",O15="None",O15=""),0,IF(O15="High",'⚙️ Rate Card'!C20,IF(O15="Medium",'⚙️ Rate Card'!C19,'⚙️ Rate Card'!C18))))*0.35)</f>
        <v>0</v>
      </c>
      <c r="AL15" s="41" t="n">
        <f aca="false">IF(B15="",0,(L15*IF(OR(O15="N/A",O15="None",O15=""),0,IF(O15="High",'⚙️ Rate Card'!C20,IF(O15="Medium",'⚙️ Rate Card'!C19,'⚙️ Rate Card'!C18))))*0.15)</f>
        <v>0</v>
      </c>
      <c r="AM15" s="35" t="n">
        <f aca="false">IF(B15="",0,AG15+AJ15+(M15*IF(OR(P15="Decommission",P15=""),'⚙️ Rate Card'!C29,IF(P15="EC2 (Lift &amp; Shift)",'⚙️ Rate Card'!C25,IF(P15="AWS QuickSight",'⚙️ Rate Card'!C27,IF(P15="Power BI",'⚙️ Rate Card'!C28,IF(P15="Custom Reporting Solution",'⚙️ Rate Card'!C26,0))))))*0.4+(IF(B15="",0,'⚙️ Rate Card'!C33+(D15/100)*'⚙️ Rate Card'!C34))*0.4+AC15+(((D15/100)*'⚙️ Rate Card'!C7+F15*'⚙️ Rate Card'!C9+G15*'⚙️ Rate Card'!C10+H15*'⚙️ Rate Card'!C11+I15*'⚙️ Rate Card'!C12+J15*'⚙️ Rate Card'!C13+K15*'⚙️ Rate Card'!C14+(D15/100)*'⚙️ Rate Card'!C8+L15*IF(OR(O15="N/A",O15="None",O15=""),0,IF(O15="High",'⚙️ Rate Card'!C20,IF(O15="Medium",'⚙️ Rate Card'!C19,'⚙️ Rate Card'!C18)))+M15*IF(OR(P15="Decommission",P15=""),'⚙️ Rate Card'!C29,IF(P15="EC2 (Lift &amp; Shift)",'⚙️ Rate Card'!C25,IF(P15="AWS QuickSight",'⚙️ Rate Card'!C27,IF(P15="Power BI",'⚙️ Rate Card'!C28,IF(P15="Custom Reporting Solution",'⚙️ Rate Card'!C26,0)))))+IF(B15="",0,'⚙️ Rate Card'!C33+(D15/100)*'⚙️ Rate Card'!C34)))*'⚙️ Rate Card'!C35*0.4+(((D15/100)*'⚙️ Rate Card'!C7+F15*'⚙️ Rate Card'!C9+G15*'⚙️ Rate Card'!C10+H15*'⚙️ Rate Card'!C11+I15*'⚙️ Rate Card'!C12+J15*'⚙️ Rate Card'!C13+K15*'⚙️ Rate Card'!C14+(D15/100)*'⚙️ Rate Card'!C8+L15*IF(OR(O15="N/A",O15="None",O15=""),0,IF(O15="High",'⚙️ Rate Card'!C20,IF(O15="Medium",'⚙️ Rate Card'!C19,'⚙️ Rate Card'!C18)))+M15*IF(OR(P15="Decommission",P15=""),'⚙️ Rate Card'!C29,IF(P15="EC2 (Lift &amp; Shift)",'⚙️ Rate Card'!C25,IF(P15="AWS QuickSight",'⚙️ Rate Card'!C27,IF(P15="Power BI",'⚙️ Rate Card'!C28,IF(P15="Custom Reporting Solution",'⚙️ Rate Card'!C26,0)))))+IF(B15="",0,'⚙️ Rate Card'!C33+(D15/100)*'⚙️ Rate Card'!C34)))*'⚙️ Rate Card'!C36*0.4+(((D15/100)*'⚙️ Rate Card'!C7+F15*'⚙️ Rate Card'!C9+G15*'⚙️ Rate Card'!C10+H15*'⚙️ Rate Card'!C11+I15*'⚙️ Rate Card'!C12+J15*'⚙️ Rate Card'!C13+K15*'⚙️ Rate Card'!C14+(D15/100)*'⚙️ Rate Card'!C8+L15*IF(OR(O15="N/A",O15="None",O15=""),0,IF(O15="High",'⚙️ Rate Card'!C20,IF(O15="Medium",'⚙️ Rate Card'!C19,'⚙️ Rate Card'!C18)))+M15*IF(OR(P15="Decommission",P15=""),'⚙️ Rate Card'!C29,IF(P15="EC2 (Lift &amp; Shift)",'⚙️ Rate Card'!C25,IF(P15="AWS QuickSight",'⚙️ Rate Card'!C27,IF(P15="Power BI",'⚙️ Rate Card'!C28,IF(P15="Custom Reporting Solution",'⚙️ Rate Card'!C26,0)))))+IF(B15="",0,'⚙️ Rate Card'!C33+(D15/100)*'⚙️ Rate Card'!C34)))*'⚙️ Rate Card'!C37*0.4)</f>
        <v>0</v>
      </c>
      <c r="AN15" s="38" t="n">
        <f aca="false">IF(B15="",0,AH15+AK15+(M15*IF(OR(P15="Decommission",P15=""),'⚙️ Rate Card'!C29,IF(P15="EC2 (Lift &amp; Shift)",'⚙️ Rate Card'!C25,IF(P15="AWS QuickSight",'⚙️ Rate Card'!C27,IF(P15="Power BI",'⚙️ Rate Card'!C28,IF(P15="Custom Reporting Solution",'⚙️ Rate Card'!C26,0))))))*0.4+(IF(B15="",0,'⚙️ Rate Card'!C33+(D15/100)*'⚙️ Rate Card'!C34))*0.4+AD15+(((D15/100)*'⚙️ Rate Card'!C7+F15*'⚙️ Rate Card'!C9+G15*'⚙️ Rate Card'!C10+H15*'⚙️ Rate Card'!C11+I15*'⚙️ Rate Card'!C12+J15*'⚙️ Rate Card'!C13+K15*'⚙️ Rate Card'!C14+(D15/100)*'⚙️ Rate Card'!C8+L15*IF(OR(O15="N/A",O15="None",O15=""),0,IF(O15="High",'⚙️ Rate Card'!C20,IF(O15="Medium",'⚙️ Rate Card'!C19,'⚙️ Rate Card'!C18)))+M15*IF(OR(P15="Decommission",P15=""),'⚙️ Rate Card'!C29,IF(P15="EC2 (Lift &amp; Shift)",'⚙️ Rate Card'!C25,IF(P15="AWS QuickSight",'⚙️ Rate Card'!C27,IF(P15="Power BI",'⚙️ Rate Card'!C28,IF(P15="Custom Reporting Solution",'⚙️ Rate Card'!C26,0)))))+IF(B15="",0,'⚙️ Rate Card'!C33+(D15/100)*'⚙️ Rate Card'!C34)))*'⚙️ Rate Card'!C35*0.4+(((D15/100)*'⚙️ Rate Card'!C7+F15*'⚙️ Rate Card'!C9+G15*'⚙️ Rate Card'!C10+H15*'⚙️ Rate Card'!C11+I15*'⚙️ Rate Card'!C12+J15*'⚙️ Rate Card'!C13+K15*'⚙️ Rate Card'!C14+(D15/100)*'⚙️ Rate Card'!C8+L15*IF(OR(O15="N/A",O15="None",O15=""),0,IF(O15="High",'⚙️ Rate Card'!C20,IF(O15="Medium",'⚙️ Rate Card'!C19,'⚙️ Rate Card'!C18)))+M15*IF(OR(P15="Decommission",P15=""),'⚙️ Rate Card'!C29,IF(P15="EC2 (Lift &amp; Shift)",'⚙️ Rate Card'!C25,IF(P15="AWS QuickSight",'⚙️ Rate Card'!C27,IF(P15="Power BI",'⚙️ Rate Card'!C28,IF(P15="Custom Reporting Solution",'⚙️ Rate Card'!C26,0)))))+IF(B15="",0,'⚙️ Rate Card'!C33+(D15/100)*'⚙️ Rate Card'!C34)))*'⚙️ Rate Card'!C36*0.4+(((D15/100)*'⚙️ Rate Card'!C7+F15*'⚙️ Rate Card'!C9+G15*'⚙️ Rate Card'!C10+H15*'⚙️ Rate Card'!C11+I15*'⚙️ Rate Card'!C12+J15*'⚙️ Rate Card'!C13+K15*'⚙️ Rate Card'!C14+(D15/100)*'⚙️ Rate Card'!C8+L15*IF(OR(O15="N/A",O15="None",O15=""),0,IF(O15="High",'⚙️ Rate Card'!C20,IF(O15="Medium",'⚙️ Rate Card'!C19,'⚙️ Rate Card'!C18)))+M15*IF(OR(P15="Decommission",P15=""),'⚙️ Rate Card'!C29,IF(P15="EC2 (Lift &amp; Shift)",'⚙️ Rate Card'!C25,IF(P15="AWS QuickSight",'⚙️ Rate Card'!C27,IF(P15="Power BI",'⚙️ Rate Card'!C28,IF(P15="Custom Reporting Solution",'⚙️ Rate Card'!C26,0)))))+IF(B15="",0,'⚙️ Rate Card'!C33+(D15/100)*'⚙️ Rate Card'!C34)))*'⚙️ Rate Card'!C37*0.4)</f>
        <v>0</v>
      </c>
      <c r="AO15" s="39" t="n">
        <f aca="false">IF(B15="",0,AI15+AL15+(M15*IF(OR(P15="Decommission",P15=""),'⚙️ Rate Card'!C29,IF(P15="EC2 (Lift &amp; Shift)",'⚙️ Rate Card'!C25,IF(P15="AWS QuickSight",'⚙️ Rate Card'!C27,IF(P15="Power BI",'⚙️ Rate Card'!C28,IF(P15="Custom Reporting Solution",'⚙️ Rate Card'!C26,0))))))*0.2+(IF(B15="",0,'⚙️ Rate Card'!C33+(D15/100)*'⚙️ Rate Card'!C34))*0.2+AE15+(((D15/100)*'⚙️ Rate Card'!C7+F15*'⚙️ Rate Card'!C9+G15*'⚙️ Rate Card'!C10+H15*'⚙️ Rate Card'!C11+I15*'⚙️ Rate Card'!C12+J15*'⚙️ Rate Card'!C13+K15*'⚙️ Rate Card'!C14+(D15/100)*'⚙️ Rate Card'!C8+L15*IF(OR(O15="N/A",O15="None",O15=""),0,IF(O15="High",'⚙️ Rate Card'!C20,IF(O15="Medium",'⚙️ Rate Card'!C19,'⚙️ Rate Card'!C18)))+M15*IF(OR(P15="Decommission",P15=""),'⚙️ Rate Card'!C29,IF(P15="EC2 (Lift &amp; Shift)",'⚙️ Rate Card'!C25,IF(P15="AWS QuickSight",'⚙️ Rate Card'!C27,IF(P15="Power BI",'⚙️ Rate Card'!C28,IF(P15="Custom Reporting Solution",'⚙️ Rate Card'!C26,0)))))+IF(B15="",0,'⚙️ Rate Card'!C33+(D15/100)*'⚙️ Rate Card'!C34)))*'⚙️ Rate Card'!C35*0.2+(((D15/100)*'⚙️ Rate Card'!C7+F15*'⚙️ Rate Card'!C9+G15*'⚙️ Rate Card'!C10+H15*'⚙️ Rate Card'!C11+I15*'⚙️ Rate Card'!C12+J15*'⚙️ Rate Card'!C13+K15*'⚙️ Rate Card'!C14+(D15/100)*'⚙️ Rate Card'!C8+L15*IF(OR(O15="N/A",O15="None",O15=""),0,IF(O15="High",'⚙️ Rate Card'!C20,IF(O15="Medium",'⚙️ Rate Card'!C19,'⚙️ Rate Card'!C18)))+M15*IF(OR(P15="Decommission",P15=""),'⚙️ Rate Card'!C29,IF(P15="EC2 (Lift &amp; Shift)",'⚙️ Rate Card'!C25,IF(P15="AWS QuickSight",'⚙️ Rate Card'!C27,IF(P15="Power BI",'⚙️ Rate Card'!C28,IF(P15="Custom Reporting Solution",'⚙️ Rate Card'!C26,0)))))+IF(B15="",0,'⚙️ Rate Card'!C33+(D15/100)*'⚙️ Rate Card'!C34)))*'⚙️ Rate Card'!C36*0.2+(((D15/100)*'⚙️ Rate Card'!C7+F15*'⚙️ Rate Card'!C9+G15*'⚙️ Rate Card'!C10+H15*'⚙️ Rate Card'!C11+I15*'⚙️ Rate Card'!C12+J15*'⚙️ Rate Card'!C13+K15*'⚙️ Rate Card'!C14+(D15/100)*'⚙️ Rate Card'!C8+L15*IF(OR(O15="N/A",O15="None",O15=""),0,IF(O15="High",'⚙️ Rate Card'!C20,IF(O15="Medium",'⚙️ Rate Card'!C19,'⚙️ Rate Card'!C18)))+M15*IF(OR(P15="Decommission",P15=""),'⚙️ Rate Card'!C29,IF(P15="EC2 (Lift &amp; Shift)",'⚙️ Rate Card'!C25,IF(P15="AWS QuickSight",'⚙️ Rate Card'!C27,IF(P15="Power BI",'⚙️ Rate Card'!C28,IF(P15="Custom Reporting Solution",'⚙️ Rate Card'!C26,0)))))+IF(B15="",0,'⚙️ Rate Card'!C33+(D15/100)*'⚙️ Rate Card'!C34)))*'⚙️ Rate Card'!C37*0.2)</f>
        <v>0</v>
      </c>
      <c r="AP15" s="42" t="n">
        <f aca="false">'✏️ SME Input'!B16</f>
        <v>0</v>
      </c>
      <c r="AQ15" s="42" t="n">
        <f aca="false">'✏️ SME Input'!C16</f>
        <v>0</v>
      </c>
      <c r="AR15" s="42" t="n">
        <f aca="false">'✏️ SME Input'!D16</f>
        <v>0</v>
      </c>
    </row>
    <row r="16" customFormat="false" ht="18" hidden="false" customHeight="true" outlineLevel="0" collapsed="false">
      <c r="B16" s="30" t="n">
        <f aca="false">'✏️ SME Input'!E17</f>
        <v>0</v>
      </c>
      <c r="C16" s="31" t="str">
        <f aca="false">IF(B16="","",IF(D16&gt;1000,"T3 Complex",IF(D16&gt;500,"T2 Moderate","T1 Simple")))</f>
        <v/>
      </c>
      <c r="D16" s="32" t="n">
        <f aca="false">'✏️ SME Input'!G17</f>
        <v>0</v>
      </c>
      <c r="E16" s="32" t="n">
        <f aca="false">'✏️ SME Input'!H17</f>
        <v>0</v>
      </c>
      <c r="F16" s="32" t="n">
        <f aca="false">'✏️ SME Input'!I17</f>
        <v>0</v>
      </c>
      <c r="G16" s="32" t="n">
        <f aca="false">'✏️ SME Input'!J17</f>
        <v>0</v>
      </c>
      <c r="H16" s="32" t="n">
        <f aca="false">'✏️ SME Input'!K17</f>
        <v>0</v>
      </c>
      <c r="I16" s="32" t="n">
        <f aca="false">'✏️ SME Input'!L17</f>
        <v>0</v>
      </c>
      <c r="J16" s="32" t="n">
        <f aca="false">'✏️ SME Input'!M17</f>
        <v>0</v>
      </c>
      <c r="K16" s="32" t="n">
        <f aca="false">'✏️ SME Input'!N17</f>
        <v>0</v>
      </c>
      <c r="L16" s="32" t="n">
        <f aca="false">'✏️ SME Input'!O17</f>
        <v>0</v>
      </c>
      <c r="M16" s="32" t="n">
        <f aca="false">'✏️ SME Input'!P17</f>
        <v>0</v>
      </c>
      <c r="N16" s="17" t="n">
        <f aca="false">'✏️ SME Input'!Q17</f>
        <v>0</v>
      </c>
      <c r="O16" s="33" t="n">
        <f aca="false">'✏️ SME Input'!R17</f>
        <v>0</v>
      </c>
      <c r="P16" s="33" t="n">
        <f aca="false">'✏️ SME Input'!S17</f>
        <v>0</v>
      </c>
      <c r="Q16" s="32" t="n">
        <f aca="false">'✏️ SME Input'!F17</f>
        <v>0</v>
      </c>
      <c r="R16" s="34" t="n">
        <f aca="false">IF(B16="",0,((D16/100)*'⚙️ Rate Card'!C7+F16*'⚙️ Rate Card'!C9+G16*'⚙️ Rate Card'!C10+H16*'⚙️ Rate Card'!C11+I16*'⚙️ Rate Card'!C12+J16*'⚙️ Rate Card'!C13+K16*'⚙️ Rate Card'!C14+(D16/100)*'⚙️ Rate Card'!C8+L16*IF(OR(O16="N/A",O16="None",O16=""),0,IF(O16="High",'⚙️ Rate Card'!C20,IF(O16="Medium",'⚙️ Rate Card'!C19,'⚙️ Rate Card'!C18)))+M16*IF(OR(P16="Decommission",P16=""),'⚙️ Rate Card'!C29,IF(P16="EC2 (Lift &amp; Shift)",'⚙️ Rate Card'!C25,IF(P16="AWS QuickSight",'⚙️ Rate Card'!C27,IF(P16="Power BI",'⚙️ Rate Card'!C28,IF(P16="Custom Reporting Solution",'⚙️ Rate Card'!C26,0)))))+IF(B16="",0,'⚙️ Rate Card'!C33+(D16/100)*'⚙️ Rate Card'!C34))*'⚙️ Rate Card'!C37+(D16/100)*'⚙️ Rate Card'!C7+F16*'⚙️ Rate Card'!C9+G16*'⚙️ Rate Card'!C10+H16*'⚙️ Rate Card'!C11+I16*'⚙️ Rate Card'!C12+J16*'⚙️ Rate Card'!C13+K16*'⚙️ Rate Card'!C14+(D16/100)*'⚙️ Rate Card'!C8+(D16/100)*'⚙️ Rate Card'!C8+L16*IF(OR(O16="N/A",O16="None",O16=""),0,IF(O16="High",'⚙️ Rate Card'!C20,IF(O16="Medium",'⚙️ Rate Card'!C19,'⚙️ Rate Card'!C18)))+M16*IF(OR(P16="Decommission",P16=""),'⚙️ Rate Card'!C29,IF(P16="EC2 (Lift &amp; Shift)",'⚙️ Rate Card'!C25,IF(P16="AWS QuickSight",'⚙️ Rate Card'!C27,IF(P16="Power BI",'⚙️ Rate Card'!C28,IF(P16="Custom Reporting Solution",'⚙️ Rate Card'!C26,0)))))+IF(B16="",0,'⚙️ Rate Card'!C33+(D16/100)*'⚙️ Rate Card'!C34)+((D16/100)*'⚙️ Rate Card'!C7+F16*'⚙️ Rate Card'!C9+G16*'⚙️ Rate Card'!C10+H16*'⚙️ Rate Card'!C11+I16*'⚙️ Rate Card'!C12+J16*'⚙️ Rate Card'!C13+K16*'⚙️ Rate Card'!C14+(D16/100)*'⚙️ Rate Card'!C8+L16*IF(OR(O16="N/A",O16="None",O16=""),0,IF(O16="High",'⚙️ Rate Card'!C20,IF(O16="Medium",'⚙️ Rate Card'!C19,'⚙️ Rate Card'!C18)))+M16*IF(OR(P16="Decommission",P16=""),'⚙️ Rate Card'!C29,IF(P16="EC2 (Lift &amp; Shift)",'⚙️ Rate Card'!C25,IF(P16="AWS QuickSight",'⚙️ Rate Card'!C27,IF(P16="Power BI",'⚙️ Rate Card'!C28,IF(P16="Custom Reporting Solution",'⚙️ Rate Card'!C26,0)))))+IF(B16="",0,'⚙️ Rate Card'!C33+(D16/100)*'⚙️ Rate Card'!C34))*'⚙️ Rate Card'!C35+((D16/100)*'⚙️ Rate Card'!C7+F16*'⚙️ Rate Card'!C9+G16*'⚙️ Rate Card'!C10+H16*'⚙️ Rate Card'!C11+I16*'⚙️ Rate Card'!C12+J16*'⚙️ Rate Card'!C13+K16*'⚙️ Rate Card'!C14+(D16/100)*'⚙️ Rate Card'!C8+L16*IF(OR(O16="N/A",O16="None",O16=""),0,IF(O16="High",'⚙️ Rate Card'!C20,IF(O16="Medium",'⚙️ Rate Card'!C19,'⚙️ Rate Card'!C18)))+M16*IF(OR(P16="Decommission",P16=""),'⚙️ Rate Card'!C29,IF(P16="EC2 (Lift &amp; Shift)",'⚙️ Rate Card'!C25,IF(P16="AWS QuickSight",'⚙️ Rate Card'!C27,IF(P16="Power BI",'⚙️ Rate Card'!C28,IF(P16="Custom Reporting Solution",'⚙️ Rate Card'!C26,0)))))+IF(B16="",0,'⚙️ Rate Card'!C33+(D16/100)*'⚙️ Rate Card'!C34))*'⚙️ Rate Card'!C36)</f>
        <v>0</v>
      </c>
      <c r="S16" s="34" t="n">
        <f aca="false">IF(B16="",0,(((D16/100)*'⚙️ Rate Card'!C7+F16*'⚙️ Rate Card'!C9+G16*'⚙️ Rate Card'!C10+H16*'⚙️ Rate Card'!C11+I16*'⚙️ Rate Card'!C12+J16*'⚙️ Rate Card'!C13+K16*'⚙️ Rate Card'!C14+(D16/100)*'⚙️ Rate Card'!C8+L16*IF(OR(O16="N/A",O16="None",O16=""),0,IF(O16="High",'⚙️ Rate Card'!C20,IF(O16="Medium",'⚙️ Rate Card'!C19,'⚙️ Rate Card'!C18)))+M16*IF(OR(P16="Decommission",P16=""),'⚙️ Rate Card'!C29,IF(P16="EC2 (Lift &amp; Shift)",'⚙️ Rate Card'!C25,IF(P16="AWS QuickSight",'⚙️ Rate Card'!C27,IF(P16="Power BI",'⚙️ Rate Card'!C28,IF(P16="Custom Reporting Solution",'⚙️ Rate Card'!C26,0)))))+IF(B16="",0,'⚙️ Rate Card'!C33+(D16/100)*'⚙️ Rate Card'!C34))*'⚙️ Rate Card'!C37)*(1-'📊 Dashboard'!C10/100)+(((D16/100)*'⚙️ Rate Card'!C7+F16*'⚙️ Rate Card'!C9+G16*'⚙️ Rate Card'!C10+H16*'⚙️ Rate Card'!C11+I16*'⚙️ Rate Card'!C12+J16*'⚙️ Rate Card'!C13+K16*'⚙️ Rate Card'!C14+(D16/100)*'⚙️ Rate Card'!C8+(D16/100)*'⚙️ Rate Card'!C8))*(1-'📊 Dashboard'!C10/100)+(L16*IF(OR(O16="N/A",O16="None",O16=""),0,IF(O16="High",'⚙️ Rate Card'!C20,IF(O16="Medium",'⚙️ Rate Card'!C19,'⚙️ Rate Card'!C18))))*(1-'📊 Dashboard'!C11/100)+(M16*IF(OR(P16="Decommission",P16=""),'⚙️ Rate Card'!C29,IF(P16="EC2 (Lift &amp; Shift)",'⚙️ Rate Card'!C25,IF(P16="AWS QuickSight",'⚙️ Rate Card'!C27,IF(P16="Power BI",'⚙️ Rate Card'!C28,IF(P16="Custom Reporting Solution",'⚙️ Rate Card'!C26,0))))))*(1-'📊 Dashboard'!C12/100)+(IF(B16="",0,'⚙️ Rate Card'!C33+(D16/100)*'⚙️ Rate Card'!C34))*(1-'📊 Dashboard'!C10/100)+(((D16/100)*'⚙️ Rate Card'!C7+F16*'⚙️ Rate Card'!C9+G16*'⚙️ Rate Card'!C10+H16*'⚙️ Rate Card'!C11+I16*'⚙️ Rate Card'!C12+J16*'⚙️ Rate Card'!C13+K16*'⚙️ Rate Card'!C14+(D16/100)*'⚙️ Rate Card'!C8+L16*IF(OR(O16="N/A",O16="None",O16=""),0,IF(O16="High",'⚙️ Rate Card'!C20,IF(O16="Medium",'⚙️ Rate Card'!C19,'⚙️ Rate Card'!C18)))+M16*IF(OR(P16="Decommission",P16=""),'⚙️ Rate Card'!C29,IF(P16="EC2 (Lift &amp; Shift)",'⚙️ Rate Card'!C25,IF(P16="AWS QuickSight",'⚙️ Rate Card'!C27,IF(P16="Power BI",'⚙️ Rate Card'!C28,IF(P16="Custom Reporting Solution",'⚙️ Rate Card'!C26,0)))))+IF(B16="",0,'⚙️ Rate Card'!C33+(D16/100)*'⚙️ Rate Card'!C34))*'⚙️ Rate Card'!C35)*(1-'📊 Dashboard'!C13/100)+(((D16/100)*'⚙️ Rate Card'!C7+F16*'⚙️ Rate Card'!C9+G16*'⚙️ Rate Card'!C10+H16*'⚙️ Rate Card'!C11+I16*'⚙️ Rate Card'!C12+J16*'⚙️ Rate Card'!C13+K16*'⚙️ Rate Card'!C14+(D16/100)*'⚙️ Rate Card'!C8+L16*IF(OR(O16="N/A",O16="None",O16=""),0,IF(O16="High",'⚙️ Rate Card'!C20,IF(O16="Medium",'⚙️ Rate Card'!C19,'⚙️ Rate Card'!C18)))+M16*IF(OR(P16="Decommission",P16=""),'⚙️ Rate Card'!C29,IF(P16="EC2 (Lift &amp; Shift)",'⚙️ Rate Card'!C25,IF(P16="AWS QuickSight",'⚙️ Rate Card'!C27,IF(P16="Power BI",'⚙️ Rate Card'!C28,IF(P16="Custom Reporting Solution",'⚙️ Rate Card'!C26,0)))))+IF(B16="",0,'⚙️ Rate Card'!C33+(D16/100)*'⚙️ Rate Card'!C34))*'⚙️ Rate Card'!C36)*(1-'📊 Dashboard'!C10/100))</f>
        <v>0</v>
      </c>
      <c r="T16" s="35" t="n">
        <f aca="false">IF(B16="",0,S16*(1+'📊 Dashboard'!C14/100))</f>
        <v>0</v>
      </c>
      <c r="U16" s="36" t="n">
        <f aca="false">IF(B16="",0,((D16/100)*'⚙️ Rate Card'!C7+F16*'⚙️ Rate Card'!C9+G16*'⚙️ Rate Card'!C10+H16*'⚙️ Rate Card'!C11+I16*'⚙️ Rate Card'!C12+J16*'⚙️ Rate Card'!C13+K16*'⚙️ Rate Card'!C14+(D16/100)*'⚙️ Rate Card'!C8+L16*IF(OR(O16="N/A",O16="None",O16=""),0,IF(O16="High",'⚙️ Rate Card'!C20,IF(O16="Medium",'⚙️ Rate Card'!C19,'⚙️ Rate Card'!C18)))+M16*IF(OR(P16="Decommission",P16=""),'⚙️ Rate Card'!C29,IF(P16="EC2 (Lift &amp; Shift)",'⚙️ Rate Card'!C25,IF(P16="AWS QuickSight",'⚙️ Rate Card'!C27,IF(P16="Power BI",'⚙️ Rate Card'!C28,IF(P16="Custom Reporting Solution",'⚙️ Rate Card'!C26,0)))))+IF(B16="",0,'⚙️ Rate Card'!C33+(D16/100)*'⚙️ Rate Card'!C34))*'⚙️ Rate Card'!C37)</f>
        <v>0</v>
      </c>
      <c r="V16" s="36" t="n">
        <f aca="false">IF(B16="",0,(D16/100)*'⚙️ Rate Card'!C7+F16*'⚙️ Rate Card'!C9+G16*'⚙️ Rate Card'!C10+H16*'⚙️ Rate Card'!C11+I16*'⚙️ Rate Card'!C12+J16*'⚙️ Rate Card'!C13+K16*'⚙️ Rate Card'!C14+(D16/100)*'⚙️ Rate Card'!C8+(D16/100)*'⚙️ Rate Card'!C8)</f>
        <v>0</v>
      </c>
      <c r="W16" s="36" t="n">
        <f aca="false">IF(B16="",0,L16*IF(OR(O16="N/A",O16="None",O16=""),0,IF(O16="High",'⚙️ Rate Card'!C20,IF(O16="Medium",'⚙️ Rate Card'!C19,'⚙️ Rate Card'!C18))))</f>
        <v>0</v>
      </c>
      <c r="X16" s="36" t="n">
        <f aca="false">IF(B16="",0,M16*IF(OR(P16="Decommission",P16=""),'⚙️ Rate Card'!C29,IF(P16="EC2 (Lift &amp; Shift)",'⚙️ Rate Card'!C25,IF(P16="AWS QuickSight",'⚙️ Rate Card'!C27,IF(P16="Power BI",'⚙️ Rate Card'!C28,IF(P16="Custom Reporting Solution",'⚙️ Rate Card'!C26,0))))))</f>
        <v>0</v>
      </c>
      <c r="Y16" s="36" t="n">
        <f aca="false">IF(B16="",0,IF(B16="",0,'⚙️ Rate Card'!C33+(D16/100)*'⚙️ Rate Card'!C34))</f>
        <v>0</v>
      </c>
      <c r="Z16" s="36" t="n">
        <f aca="false">IF(B16="",0,((D16/100)*'⚙️ Rate Card'!C7+F16*'⚙️ Rate Card'!C9+G16*'⚙️ Rate Card'!C10+H16*'⚙️ Rate Card'!C11+I16*'⚙️ Rate Card'!C12+J16*'⚙️ Rate Card'!C13+K16*'⚙️ Rate Card'!C14+(D16/100)*'⚙️ Rate Card'!C8+L16*IF(OR(O16="N/A",O16="None",O16=""),0,IF(O16="High",'⚙️ Rate Card'!C20,IF(O16="Medium",'⚙️ Rate Card'!C19,'⚙️ Rate Card'!C18)))+M16*IF(OR(P16="Decommission",P16=""),'⚙️ Rate Card'!C29,IF(P16="EC2 (Lift &amp; Shift)",'⚙️ Rate Card'!C25,IF(P16="AWS QuickSight",'⚙️ Rate Card'!C27,IF(P16="Power BI",'⚙️ Rate Card'!C28,IF(P16="Custom Reporting Solution",'⚙️ Rate Card'!C26,0)))))+IF(B16="",0,'⚙️ Rate Card'!C33+(D16/100)*'⚙️ Rate Card'!C34))*'⚙️ Rate Card'!C35)</f>
        <v>0</v>
      </c>
      <c r="AA16" s="36" t="n">
        <f aca="false">IF(B16="",0,((D16/100)*'⚙️ Rate Card'!C7+F16*'⚙️ Rate Card'!C9+G16*'⚙️ Rate Card'!C10+H16*'⚙️ Rate Card'!C11+I16*'⚙️ Rate Card'!C12+J16*'⚙️ Rate Card'!C13+K16*'⚙️ Rate Card'!C14+(D16/100)*'⚙️ Rate Card'!C8+L16*IF(OR(O16="N/A",O16="None",O16=""),0,IF(O16="High",'⚙️ Rate Card'!C20,IF(O16="Medium",'⚙️ Rate Card'!C19,'⚙️ Rate Card'!C18)))+M16*IF(OR(P16="Decommission",P16=""),'⚙️ Rate Card'!C29,IF(P16="EC2 (Lift &amp; Shift)",'⚙️ Rate Card'!C25,IF(P16="AWS QuickSight",'⚙️ Rate Card'!C27,IF(P16="Power BI",'⚙️ Rate Card'!C28,IF(P16="Custom Reporting Solution",'⚙️ Rate Card'!C26,0)))))+IF(B16="",0,'⚙️ Rate Card'!C33+(D16/100)*'⚙️ Rate Card'!C34))*'⚙️ Rate Card'!C36)</f>
        <v>0</v>
      </c>
      <c r="AB16" s="37" t="n">
        <f aca="false">'✏️ SME Input'!T17</f>
        <v>0</v>
      </c>
      <c r="AC16" s="36" t="n">
        <f aca="false">IF(B16="",0,AB16*0.75)</f>
        <v>0</v>
      </c>
      <c r="AD16" s="36" t="n">
        <f aca="false">IF(B16="",0,AB16*0.75)</f>
        <v>0</v>
      </c>
      <c r="AE16" s="36" t="n">
        <f aca="false">IF(B16="",0,AB16*0.75)</f>
        <v>0</v>
      </c>
      <c r="AF16" s="36" t="n">
        <f aca="false">IF(B16="",0,AB16*2.25)</f>
        <v>0</v>
      </c>
      <c r="AG16" s="36" t="n">
        <f aca="false">IF(B16="",0,((D16/100)*'⚙️ Rate Card'!C7+F16*'⚙️ Rate Card'!C9+G16*'⚙️ Rate Card'!C10+H16*'⚙️ Rate Card'!C11+I16*'⚙️ Rate Card'!C12+J16*'⚙️ Rate Card'!C13+K16*'⚙️ Rate Card'!C14+(D16/100)*'⚙️ Rate Card'!C8)*0.4)</f>
        <v>0</v>
      </c>
      <c r="AH16" s="36" t="n">
        <f aca="false">IF(B16="",0,((D16/100)*'⚙️ Rate Card'!C7+F16*'⚙️ Rate Card'!C9+G16*'⚙️ Rate Card'!C10+H16*'⚙️ Rate Card'!C11+I16*'⚙️ Rate Card'!C12+J16*'⚙️ Rate Card'!C13+K16*'⚙️ Rate Card'!C14+(D16/100)*'⚙️ Rate Card'!C8)*0.4)</f>
        <v>0</v>
      </c>
      <c r="AI16" s="36" t="n">
        <f aca="false">IF(B16="",0,((D16/100)*'⚙️ Rate Card'!C7+F16*'⚙️ Rate Card'!C9+G16*'⚙️ Rate Card'!C10+H16*'⚙️ Rate Card'!C11+I16*'⚙️ Rate Card'!C12+J16*'⚙️ Rate Card'!C13+K16*'⚙️ Rate Card'!C14+(D16/100)*'⚙️ Rate Card'!C8)*0.2)</f>
        <v>0</v>
      </c>
      <c r="AJ16" s="36" t="n">
        <f aca="false">IF(B16="",0,(L16*IF(OR(O16="N/A",O16="None",O16=""),0,IF(O16="High",'⚙️ Rate Card'!C20,IF(O16="Medium",'⚙️ Rate Card'!C19,'⚙️ Rate Card'!C18))))*0.5)</f>
        <v>0</v>
      </c>
      <c r="AK16" s="36" t="n">
        <f aca="false">IF(B16="",0,(L16*IF(OR(O16="N/A",O16="None",O16=""),0,IF(O16="High",'⚙️ Rate Card'!C20,IF(O16="Medium",'⚙️ Rate Card'!C19,'⚙️ Rate Card'!C18))))*0.35)</f>
        <v>0</v>
      </c>
      <c r="AL16" s="36" t="n">
        <f aca="false">IF(B16="",0,(L16*IF(OR(O16="N/A",O16="None",O16=""),0,IF(O16="High",'⚙️ Rate Card'!C20,IF(O16="Medium",'⚙️ Rate Card'!C19,'⚙️ Rate Card'!C18))))*0.15)</f>
        <v>0</v>
      </c>
      <c r="AM16" s="35" t="n">
        <f aca="false">IF(B16="",0,AG16+AJ16+(M16*IF(OR(P16="Decommission",P16=""),'⚙️ Rate Card'!C29,IF(P16="EC2 (Lift &amp; Shift)",'⚙️ Rate Card'!C25,IF(P16="AWS QuickSight",'⚙️ Rate Card'!C27,IF(P16="Power BI",'⚙️ Rate Card'!C28,IF(P16="Custom Reporting Solution",'⚙️ Rate Card'!C26,0))))))*0.4+(IF(B16="",0,'⚙️ Rate Card'!C33+(D16/100)*'⚙️ Rate Card'!C34))*0.4+AC16+(((D16/100)*'⚙️ Rate Card'!C7+F16*'⚙️ Rate Card'!C9+G16*'⚙️ Rate Card'!C10+H16*'⚙️ Rate Card'!C11+I16*'⚙️ Rate Card'!C12+J16*'⚙️ Rate Card'!C13+K16*'⚙️ Rate Card'!C14+(D16/100)*'⚙️ Rate Card'!C8+L16*IF(OR(O16="N/A",O16="None",O16=""),0,IF(O16="High",'⚙️ Rate Card'!C20,IF(O16="Medium",'⚙️ Rate Card'!C19,'⚙️ Rate Card'!C18)))+M16*IF(OR(P16="Decommission",P16=""),'⚙️ Rate Card'!C29,IF(P16="EC2 (Lift &amp; Shift)",'⚙️ Rate Card'!C25,IF(P16="AWS QuickSight",'⚙️ Rate Card'!C27,IF(P16="Power BI",'⚙️ Rate Card'!C28,IF(P16="Custom Reporting Solution",'⚙️ Rate Card'!C26,0)))))+IF(B16="",0,'⚙️ Rate Card'!C33+(D16/100)*'⚙️ Rate Card'!C34)))*'⚙️ Rate Card'!C35*0.4+(((D16/100)*'⚙️ Rate Card'!C7+F16*'⚙️ Rate Card'!C9+G16*'⚙️ Rate Card'!C10+H16*'⚙️ Rate Card'!C11+I16*'⚙️ Rate Card'!C12+J16*'⚙️ Rate Card'!C13+K16*'⚙️ Rate Card'!C14+(D16/100)*'⚙️ Rate Card'!C8+L16*IF(OR(O16="N/A",O16="None",O16=""),0,IF(O16="High",'⚙️ Rate Card'!C20,IF(O16="Medium",'⚙️ Rate Card'!C19,'⚙️ Rate Card'!C18)))+M16*IF(OR(P16="Decommission",P16=""),'⚙️ Rate Card'!C29,IF(P16="EC2 (Lift &amp; Shift)",'⚙️ Rate Card'!C25,IF(P16="AWS QuickSight",'⚙️ Rate Card'!C27,IF(P16="Power BI",'⚙️ Rate Card'!C28,IF(P16="Custom Reporting Solution",'⚙️ Rate Card'!C26,0)))))+IF(B16="",0,'⚙️ Rate Card'!C33+(D16/100)*'⚙️ Rate Card'!C34)))*'⚙️ Rate Card'!C36*0.4+(((D16/100)*'⚙️ Rate Card'!C7+F16*'⚙️ Rate Card'!C9+G16*'⚙️ Rate Card'!C10+H16*'⚙️ Rate Card'!C11+I16*'⚙️ Rate Card'!C12+J16*'⚙️ Rate Card'!C13+K16*'⚙️ Rate Card'!C14+(D16/100)*'⚙️ Rate Card'!C8+L16*IF(OR(O16="N/A",O16="None",O16=""),0,IF(O16="High",'⚙️ Rate Card'!C20,IF(O16="Medium",'⚙️ Rate Card'!C19,'⚙️ Rate Card'!C18)))+M16*IF(OR(P16="Decommission",P16=""),'⚙️ Rate Card'!C29,IF(P16="EC2 (Lift &amp; Shift)",'⚙️ Rate Card'!C25,IF(P16="AWS QuickSight",'⚙️ Rate Card'!C27,IF(P16="Power BI",'⚙️ Rate Card'!C28,IF(P16="Custom Reporting Solution",'⚙️ Rate Card'!C26,0)))))+IF(B16="",0,'⚙️ Rate Card'!C33+(D16/100)*'⚙️ Rate Card'!C34)))*'⚙️ Rate Card'!C37*0.4)</f>
        <v>0</v>
      </c>
      <c r="AN16" s="38" t="n">
        <f aca="false">IF(B16="",0,AH16+AK16+(M16*IF(OR(P16="Decommission",P16=""),'⚙️ Rate Card'!C29,IF(P16="EC2 (Lift &amp; Shift)",'⚙️ Rate Card'!C25,IF(P16="AWS QuickSight",'⚙️ Rate Card'!C27,IF(P16="Power BI",'⚙️ Rate Card'!C28,IF(P16="Custom Reporting Solution",'⚙️ Rate Card'!C26,0))))))*0.4+(IF(B16="",0,'⚙️ Rate Card'!C33+(D16/100)*'⚙️ Rate Card'!C34))*0.4+AD16+(((D16/100)*'⚙️ Rate Card'!C7+F16*'⚙️ Rate Card'!C9+G16*'⚙️ Rate Card'!C10+H16*'⚙️ Rate Card'!C11+I16*'⚙️ Rate Card'!C12+J16*'⚙️ Rate Card'!C13+K16*'⚙️ Rate Card'!C14+(D16/100)*'⚙️ Rate Card'!C8+L16*IF(OR(O16="N/A",O16="None",O16=""),0,IF(O16="High",'⚙️ Rate Card'!C20,IF(O16="Medium",'⚙️ Rate Card'!C19,'⚙️ Rate Card'!C18)))+M16*IF(OR(P16="Decommission",P16=""),'⚙️ Rate Card'!C29,IF(P16="EC2 (Lift &amp; Shift)",'⚙️ Rate Card'!C25,IF(P16="AWS QuickSight",'⚙️ Rate Card'!C27,IF(P16="Power BI",'⚙️ Rate Card'!C28,IF(P16="Custom Reporting Solution",'⚙️ Rate Card'!C26,0)))))+IF(B16="",0,'⚙️ Rate Card'!C33+(D16/100)*'⚙️ Rate Card'!C34)))*'⚙️ Rate Card'!C35*0.4+(((D16/100)*'⚙️ Rate Card'!C7+F16*'⚙️ Rate Card'!C9+G16*'⚙️ Rate Card'!C10+H16*'⚙️ Rate Card'!C11+I16*'⚙️ Rate Card'!C12+J16*'⚙️ Rate Card'!C13+K16*'⚙️ Rate Card'!C14+(D16/100)*'⚙️ Rate Card'!C8+L16*IF(OR(O16="N/A",O16="None",O16=""),0,IF(O16="High",'⚙️ Rate Card'!C20,IF(O16="Medium",'⚙️ Rate Card'!C19,'⚙️ Rate Card'!C18)))+M16*IF(OR(P16="Decommission",P16=""),'⚙️ Rate Card'!C29,IF(P16="EC2 (Lift &amp; Shift)",'⚙️ Rate Card'!C25,IF(P16="AWS QuickSight",'⚙️ Rate Card'!C27,IF(P16="Power BI",'⚙️ Rate Card'!C28,IF(P16="Custom Reporting Solution",'⚙️ Rate Card'!C26,0)))))+IF(B16="",0,'⚙️ Rate Card'!C33+(D16/100)*'⚙️ Rate Card'!C34)))*'⚙️ Rate Card'!C36*0.4+(((D16/100)*'⚙️ Rate Card'!C7+F16*'⚙️ Rate Card'!C9+G16*'⚙️ Rate Card'!C10+H16*'⚙️ Rate Card'!C11+I16*'⚙️ Rate Card'!C12+J16*'⚙️ Rate Card'!C13+K16*'⚙️ Rate Card'!C14+(D16/100)*'⚙️ Rate Card'!C8+L16*IF(OR(O16="N/A",O16="None",O16=""),0,IF(O16="High",'⚙️ Rate Card'!C20,IF(O16="Medium",'⚙️ Rate Card'!C19,'⚙️ Rate Card'!C18)))+M16*IF(OR(P16="Decommission",P16=""),'⚙️ Rate Card'!C29,IF(P16="EC2 (Lift &amp; Shift)",'⚙️ Rate Card'!C25,IF(P16="AWS QuickSight",'⚙️ Rate Card'!C27,IF(P16="Power BI",'⚙️ Rate Card'!C28,IF(P16="Custom Reporting Solution",'⚙️ Rate Card'!C26,0)))))+IF(B16="",0,'⚙️ Rate Card'!C33+(D16/100)*'⚙️ Rate Card'!C34)))*'⚙️ Rate Card'!C37*0.4)</f>
        <v>0</v>
      </c>
      <c r="AO16" s="39" t="n">
        <f aca="false">IF(B16="",0,AI16+AL16+(M16*IF(OR(P16="Decommission",P16=""),'⚙️ Rate Card'!C29,IF(P16="EC2 (Lift &amp; Shift)",'⚙️ Rate Card'!C25,IF(P16="AWS QuickSight",'⚙️ Rate Card'!C27,IF(P16="Power BI",'⚙️ Rate Card'!C28,IF(P16="Custom Reporting Solution",'⚙️ Rate Card'!C26,0))))))*0.2+(IF(B16="",0,'⚙️ Rate Card'!C33+(D16/100)*'⚙️ Rate Card'!C34))*0.2+AE16+(((D16/100)*'⚙️ Rate Card'!C7+F16*'⚙️ Rate Card'!C9+G16*'⚙️ Rate Card'!C10+H16*'⚙️ Rate Card'!C11+I16*'⚙️ Rate Card'!C12+J16*'⚙️ Rate Card'!C13+K16*'⚙️ Rate Card'!C14+(D16/100)*'⚙️ Rate Card'!C8+L16*IF(OR(O16="N/A",O16="None",O16=""),0,IF(O16="High",'⚙️ Rate Card'!C20,IF(O16="Medium",'⚙️ Rate Card'!C19,'⚙️ Rate Card'!C18)))+M16*IF(OR(P16="Decommission",P16=""),'⚙️ Rate Card'!C29,IF(P16="EC2 (Lift &amp; Shift)",'⚙️ Rate Card'!C25,IF(P16="AWS QuickSight",'⚙️ Rate Card'!C27,IF(P16="Power BI",'⚙️ Rate Card'!C28,IF(P16="Custom Reporting Solution",'⚙️ Rate Card'!C26,0)))))+IF(B16="",0,'⚙️ Rate Card'!C33+(D16/100)*'⚙️ Rate Card'!C34)))*'⚙️ Rate Card'!C35*0.2+(((D16/100)*'⚙️ Rate Card'!C7+F16*'⚙️ Rate Card'!C9+G16*'⚙️ Rate Card'!C10+H16*'⚙️ Rate Card'!C11+I16*'⚙️ Rate Card'!C12+J16*'⚙️ Rate Card'!C13+K16*'⚙️ Rate Card'!C14+(D16/100)*'⚙️ Rate Card'!C8+L16*IF(OR(O16="N/A",O16="None",O16=""),0,IF(O16="High",'⚙️ Rate Card'!C20,IF(O16="Medium",'⚙️ Rate Card'!C19,'⚙️ Rate Card'!C18)))+M16*IF(OR(P16="Decommission",P16=""),'⚙️ Rate Card'!C29,IF(P16="EC2 (Lift &amp; Shift)",'⚙️ Rate Card'!C25,IF(P16="AWS QuickSight",'⚙️ Rate Card'!C27,IF(P16="Power BI",'⚙️ Rate Card'!C28,IF(P16="Custom Reporting Solution",'⚙️ Rate Card'!C26,0)))))+IF(B16="",0,'⚙️ Rate Card'!C33+(D16/100)*'⚙️ Rate Card'!C34)))*'⚙️ Rate Card'!C36*0.2+(((D16/100)*'⚙️ Rate Card'!C7+F16*'⚙️ Rate Card'!C9+G16*'⚙️ Rate Card'!C10+H16*'⚙️ Rate Card'!C11+I16*'⚙️ Rate Card'!C12+J16*'⚙️ Rate Card'!C13+K16*'⚙️ Rate Card'!C14+(D16/100)*'⚙️ Rate Card'!C8+L16*IF(OR(O16="N/A",O16="None",O16=""),0,IF(O16="High",'⚙️ Rate Card'!C20,IF(O16="Medium",'⚙️ Rate Card'!C19,'⚙️ Rate Card'!C18)))+M16*IF(OR(P16="Decommission",P16=""),'⚙️ Rate Card'!C29,IF(P16="EC2 (Lift &amp; Shift)",'⚙️ Rate Card'!C25,IF(P16="AWS QuickSight",'⚙️ Rate Card'!C27,IF(P16="Power BI",'⚙️ Rate Card'!C28,IF(P16="Custom Reporting Solution",'⚙️ Rate Card'!C26,0)))))+IF(B16="",0,'⚙️ Rate Card'!C33+(D16/100)*'⚙️ Rate Card'!C34)))*'⚙️ Rate Card'!C37*0.2)</f>
        <v>0</v>
      </c>
      <c r="AP16" s="37" t="n">
        <f aca="false">'✏️ SME Input'!B17</f>
        <v>0</v>
      </c>
      <c r="AQ16" s="37" t="n">
        <f aca="false">'✏️ SME Input'!C17</f>
        <v>0</v>
      </c>
      <c r="AR16" s="37" t="n">
        <f aca="false">'✏️ SME Input'!D17</f>
        <v>0</v>
      </c>
    </row>
    <row r="17" customFormat="false" ht="18" hidden="false" customHeight="true" outlineLevel="0" collapsed="false">
      <c r="B17" s="40" t="n">
        <f aca="false">'✏️ SME Input'!E18</f>
        <v>0</v>
      </c>
      <c r="C17" s="31" t="str">
        <f aca="false">IF(B17="","",IF(D17&gt;1000,"T3 Complex",IF(D17&gt;500,"T2 Moderate","T1 Simple")))</f>
        <v/>
      </c>
      <c r="D17" s="32" t="n">
        <f aca="false">'✏️ SME Input'!G18</f>
        <v>0</v>
      </c>
      <c r="E17" s="32" t="n">
        <f aca="false">'✏️ SME Input'!H18</f>
        <v>0</v>
      </c>
      <c r="F17" s="32" t="n">
        <f aca="false">'✏️ SME Input'!I18</f>
        <v>0</v>
      </c>
      <c r="G17" s="32" t="n">
        <f aca="false">'✏️ SME Input'!J18</f>
        <v>0</v>
      </c>
      <c r="H17" s="32" t="n">
        <f aca="false">'✏️ SME Input'!K18</f>
        <v>0</v>
      </c>
      <c r="I17" s="32" t="n">
        <f aca="false">'✏️ SME Input'!L18</f>
        <v>0</v>
      </c>
      <c r="J17" s="32" t="n">
        <f aca="false">'✏️ SME Input'!M18</f>
        <v>0</v>
      </c>
      <c r="K17" s="32" t="n">
        <f aca="false">'✏️ SME Input'!N18</f>
        <v>0</v>
      </c>
      <c r="L17" s="32" t="n">
        <f aca="false">'✏️ SME Input'!O18</f>
        <v>0</v>
      </c>
      <c r="M17" s="32" t="n">
        <f aca="false">'✏️ SME Input'!P18</f>
        <v>0</v>
      </c>
      <c r="N17" s="17" t="n">
        <f aca="false">'✏️ SME Input'!Q18</f>
        <v>0</v>
      </c>
      <c r="O17" s="33" t="n">
        <f aca="false">'✏️ SME Input'!R18</f>
        <v>0</v>
      </c>
      <c r="P17" s="33" t="n">
        <f aca="false">'✏️ SME Input'!S18</f>
        <v>0</v>
      </c>
      <c r="Q17" s="32" t="n">
        <f aca="false">'✏️ SME Input'!F18</f>
        <v>0</v>
      </c>
      <c r="R17" s="34" t="n">
        <f aca="false">IF(B17="",0,((D17/100)*'⚙️ Rate Card'!C7+F17*'⚙️ Rate Card'!C9+G17*'⚙️ Rate Card'!C10+H17*'⚙️ Rate Card'!C11+I17*'⚙️ Rate Card'!C12+J17*'⚙️ Rate Card'!C13+K17*'⚙️ Rate Card'!C14+(D17/100)*'⚙️ Rate Card'!C8+L17*IF(OR(O17="N/A",O17="None",O17=""),0,IF(O17="High",'⚙️ Rate Card'!C20,IF(O17="Medium",'⚙️ Rate Card'!C19,'⚙️ Rate Card'!C18)))+M17*IF(OR(P17="Decommission",P17=""),'⚙️ Rate Card'!C29,IF(P17="EC2 (Lift &amp; Shift)",'⚙️ Rate Card'!C25,IF(P17="AWS QuickSight",'⚙️ Rate Card'!C27,IF(P17="Power BI",'⚙️ Rate Card'!C28,IF(P17="Custom Reporting Solution",'⚙️ Rate Card'!C26,0)))))+IF(B17="",0,'⚙️ Rate Card'!C33+(D17/100)*'⚙️ Rate Card'!C34))*'⚙️ Rate Card'!C37+(D17/100)*'⚙️ Rate Card'!C7+F17*'⚙️ Rate Card'!C9+G17*'⚙️ Rate Card'!C10+H17*'⚙️ Rate Card'!C11+I17*'⚙️ Rate Card'!C12+J17*'⚙️ Rate Card'!C13+K17*'⚙️ Rate Card'!C14+(D17/100)*'⚙️ Rate Card'!C8+(D17/100)*'⚙️ Rate Card'!C8+L17*IF(OR(O17="N/A",O17="None",O17=""),0,IF(O17="High",'⚙️ Rate Card'!C20,IF(O17="Medium",'⚙️ Rate Card'!C19,'⚙️ Rate Card'!C18)))+M17*IF(OR(P17="Decommission",P17=""),'⚙️ Rate Card'!C29,IF(P17="EC2 (Lift &amp; Shift)",'⚙️ Rate Card'!C25,IF(P17="AWS QuickSight",'⚙️ Rate Card'!C27,IF(P17="Power BI",'⚙️ Rate Card'!C28,IF(P17="Custom Reporting Solution",'⚙️ Rate Card'!C26,0)))))+IF(B17="",0,'⚙️ Rate Card'!C33+(D17/100)*'⚙️ Rate Card'!C34)+((D17/100)*'⚙️ Rate Card'!C7+F17*'⚙️ Rate Card'!C9+G17*'⚙️ Rate Card'!C10+H17*'⚙️ Rate Card'!C11+I17*'⚙️ Rate Card'!C12+J17*'⚙️ Rate Card'!C13+K17*'⚙️ Rate Card'!C14+(D17/100)*'⚙️ Rate Card'!C8+L17*IF(OR(O17="N/A",O17="None",O17=""),0,IF(O17="High",'⚙️ Rate Card'!C20,IF(O17="Medium",'⚙️ Rate Card'!C19,'⚙️ Rate Card'!C18)))+M17*IF(OR(P17="Decommission",P17=""),'⚙️ Rate Card'!C29,IF(P17="EC2 (Lift &amp; Shift)",'⚙️ Rate Card'!C25,IF(P17="AWS QuickSight",'⚙️ Rate Card'!C27,IF(P17="Power BI",'⚙️ Rate Card'!C28,IF(P17="Custom Reporting Solution",'⚙️ Rate Card'!C26,0)))))+IF(B17="",0,'⚙️ Rate Card'!C33+(D17/100)*'⚙️ Rate Card'!C34))*'⚙️ Rate Card'!C35+((D17/100)*'⚙️ Rate Card'!C7+F17*'⚙️ Rate Card'!C9+G17*'⚙️ Rate Card'!C10+H17*'⚙️ Rate Card'!C11+I17*'⚙️ Rate Card'!C12+J17*'⚙️ Rate Card'!C13+K17*'⚙️ Rate Card'!C14+(D17/100)*'⚙️ Rate Card'!C8+L17*IF(OR(O17="N/A",O17="None",O17=""),0,IF(O17="High",'⚙️ Rate Card'!C20,IF(O17="Medium",'⚙️ Rate Card'!C19,'⚙️ Rate Card'!C18)))+M17*IF(OR(P17="Decommission",P17=""),'⚙️ Rate Card'!C29,IF(P17="EC2 (Lift &amp; Shift)",'⚙️ Rate Card'!C25,IF(P17="AWS QuickSight",'⚙️ Rate Card'!C27,IF(P17="Power BI",'⚙️ Rate Card'!C28,IF(P17="Custom Reporting Solution",'⚙️ Rate Card'!C26,0)))))+IF(B17="",0,'⚙️ Rate Card'!C33+(D17/100)*'⚙️ Rate Card'!C34))*'⚙️ Rate Card'!C36)</f>
        <v>0</v>
      </c>
      <c r="S17" s="34" t="n">
        <f aca="false">IF(B17="",0,(((D17/100)*'⚙️ Rate Card'!C7+F17*'⚙️ Rate Card'!C9+G17*'⚙️ Rate Card'!C10+H17*'⚙️ Rate Card'!C11+I17*'⚙️ Rate Card'!C12+J17*'⚙️ Rate Card'!C13+K17*'⚙️ Rate Card'!C14+(D17/100)*'⚙️ Rate Card'!C8+L17*IF(OR(O17="N/A",O17="None",O17=""),0,IF(O17="High",'⚙️ Rate Card'!C20,IF(O17="Medium",'⚙️ Rate Card'!C19,'⚙️ Rate Card'!C18)))+M17*IF(OR(P17="Decommission",P17=""),'⚙️ Rate Card'!C29,IF(P17="EC2 (Lift &amp; Shift)",'⚙️ Rate Card'!C25,IF(P17="AWS QuickSight",'⚙️ Rate Card'!C27,IF(P17="Power BI",'⚙️ Rate Card'!C28,IF(P17="Custom Reporting Solution",'⚙️ Rate Card'!C26,0)))))+IF(B17="",0,'⚙️ Rate Card'!C33+(D17/100)*'⚙️ Rate Card'!C34))*'⚙️ Rate Card'!C37)*(1-'📊 Dashboard'!C10/100)+(((D17/100)*'⚙️ Rate Card'!C7+F17*'⚙️ Rate Card'!C9+G17*'⚙️ Rate Card'!C10+H17*'⚙️ Rate Card'!C11+I17*'⚙️ Rate Card'!C12+J17*'⚙️ Rate Card'!C13+K17*'⚙️ Rate Card'!C14+(D17/100)*'⚙️ Rate Card'!C8+(D17/100)*'⚙️ Rate Card'!C8))*(1-'📊 Dashboard'!C10/100)+(L17*IF(OR(O17="N/A",O17="None",O17=""),0,IF(O17="High",'⚙️ Rate Card'!C20,IF(O17="Medium",'⚙️ Rate Card'!C19,'⚙️ Rate Card'!C18))))*(1-'📊 Dashboard'!C11/100)+(M17*IF(OR(P17="Decommission",P17=""),'⚙️ Rate Card'!C29,IF(P17="EC2 (Lift &amp; Shift)",'⚙️ Rate Card'!C25,IF(P17="AWS QuickSight",'⚙️ Rate Card'!C27,IF(P17="Power BI",'⚙️ Rate Card'!C28,IF(P17="Custom Reporting Solution",'⚙️ Rate Card'!C26,0))))))*(1-'📊 Dashboard'!C12/100)+(IF(B17="",0,'⚙️ Rate Card'!C33+(D17/100)*'⚙️ Rate Card'!C34))*(1-'📊 Dashboard'!C10/100)+(((D17/100)*'⚙️ Rate Card'!C7+F17*'⚙️ Rate Card'!C9+G17*'⚙️ Rate Card'!C10+H17*'⚙️ Rate Card'!C11+I17*'⚙️ Rate Card'!C12+J17*'⚙️ Rate Card'!C13+K17*'⚙️ Rate Card'!C14+(D17/100)*'⚙️ Rate Card'!C8+L17*IF(OR(O17="N/A",O17="None",O17=""),0,IF(O17="High",'⚙️ Rate Card'!C20,IF(O17="Medium",'⚙️ Rate Card'!C19,'⚙️ Rate Card'!C18)))+M17*IF(OR(P17="Decommission",P17=""),'⚙️ Rate Card'!C29,IF(P17="EC2 (Lift &amp; Shift)",'⚙️ Rate Card'!C25,IF(P17="AWS QuickSight",'⚙️ Rate Card'!C27,IF(P17="Power BI",'⚙️ Rate Card'!C28,IF(P17="Custom Reporting Solution",'⚙️ Rate Card'!C26,0)))))+IF(B17="",0,'⚙️ Rate Card'!C33+(D17/100)*'⚙️ Rate Card'!C34))*'⚙️ Rate Card'!C35)*(1-'📊 Dashboard'!C13/100)+(((D17/100)*'⚙️ Rate Card'!C7+F17*'⚙️ Rate Card'!C9+G17*'⚙️ Rate Card'!C10+H17*'⚙️ Rate Card'!C11+I17*'⚙️ Rate Card'!C12+J17*'⚙️ Rate Card'!C13+K17*'⚙️ Rate Card'!C14+(D17/100)*'⚙️ Rate Card'!C8+L17*IF(OR(O17="N/A",O17="None",O17=""),0,IF(O17="High",'⚙️ Rate Card'!C20,IF(O17="Medium",'⚙️ Rate Card'!C19,'⚙️ Rate Card'!C18)))+M17*IF(OR(P17="Decommission",P17=""),'⚙️ Rate Card'!C29,IF(P17="EC2 (Lift &amp; Shift)",'⚙️ Rate Card'!C25,IF(P17="AWS QuickSight",'⚙️ Rate Card'!C27,IF(P17="Power BI",'⚙️ Rate Card'!C28,IF(P17="Custom Reporting Solution",'⚙️ Rate Card'!C26,0)))))+IF(B17="",0,'⚙️ Rate Card'!C33+(D17/100)*'⚙️ Rate Card'!C34))*'⚙️ Rate Card'!C36)*(1-'📊 Dashboard'!C10/100))</f>
        <v>0</v>
      </c>
      <c r="T17" s="35" t="n">
        <f aca="false">IF(B17="",0,S17*(1+'📊 Dashboard'!C14/100))</f>
        <v>0</v>
      </c>
      <c r="U17" s="41" t="n">
        <f aca="false">IF(B17="",0,((D17/100)*'⚙️ Rate Card'!C7+F17*'⚙️ Rate Card'!C9+G17*'⚙️ Rate Card'!C10+H17*'⚙️ Rate Card'!C11+I17*'⚙️ Rate Card'!C12+J17*'⚙️ Rate Card'!C13+K17*'⚙️ Rate Card'!C14+(D17/100)*'⚙️ Rate Card'!C8+L17*IF(OR(O17="N/A",O17="None",O17=""),0,IF(O17="High",'⚙️ Rate Card'!C20,IF(O17="Medium",'⚙️ Rate Card'!C19,'⚙️ Rate Card'!C18)))+M17*IF(OR(P17="Decommission",P17=""),'⚙️ Rate Card'!C29,IF(P17="EC2 (Lift &amp; Shift)",'⚙️ Rate Card'!C25,IF(P17="AWS QuickSight",'⚙️ Rate Card'!C27,IF(P17="Power BI",'⚙️ Rate Card'!C28,IF(P17="Custom Reporting Solution",'⚙️ Rate Card'!C26,0)))))+IF(B17="",0,'⚙️ Rate Card'!C33+(D17/100)*'⚙️ Rate Card'!C34))*'⚙️ Rate Card'!C37)</f>
        <v>0</v>
      </c>
      <c r="V17" s="41" t="n">
        <f aca="false">IF(B17="",0,(D17/100)*'⚙️ Rate Card'!C7+F17*'⚙️ Rate Card'!C9+G17*'⚙️ Rate Card'!C10+H17*'⚙️ Rate Card'!C11+I17*'⚙️ Rate Card'!C12+J17*'⚙️ Rate Card'!C13+K17*'⚙️ Rate Card'!C14+(D17/100)*'⚙️ Rate Card'!C8+(D17/100)*'⚙️ Rate Card'!C8)</f>
        <v>0</v>
      </c>
      <c r="W17" s="41" t="n">
        <f aca="false">IF(B17="",0,L17*IF(OR(O17="N/A",O17="None",O17=""),0,IF(O17="High",'⚙️ Rate Card'!C20,IF(O17="Medium",'⚙️ Rate Card'!C19,'⚙️ Rate Card'!C18))))</f>
        <v>0</v>
      </c>
      <c r="X17" s="41" t="n">
        <f aca="false">IF(B17="",0,M17*IF(OR(P17="Decommission",P17=""),'⚙️ Rate Card'!C29,IF(P17="EC2 (Lift &amp; Shift)",'⚙️ Rate Card'!C25,IF(P17="AWS QuickSight",'⚙️ Rate Card'!C27,IF(P17="Power BI",'⚙️ Rate Card'!C28,IF(P17="Custom Reporting Solution",'⚙️ Rate Card'!C26,0))))))</f>
        <v>0</v>
      </c>
      <c r="Y17" s="41" t="n">
        <f aca="false">IF(B17="",0,IF(B17="",0,'⚙️ Rate Card'!C33+(D17/100)*'⚙️ Rate Card'!C34))</f>
        <v>0</v>
      </c>
      <c r="Z17" s="41" t="n">
        <f aca="false">IF(B17="",0,((D17/100)*'⚙️ Rate Card'!C7+F17*'⚙️ Rate Card'!C9+G17*'⚙️ Rate Card'!C10+H17*'⚙️ Rate Card'!C11+I17*'⚙️ Rate Card'!C12+J17*'⚙️ Rate Card'!C13+K17*'⚙️ Rate Card'!C14+(D17/100)*'⚙️ Rate Card'!C8+L17*IF(OR(O17="N/A",O17="None",O17=""),0,IF(O17="High",'⚙️ Rate Card'!C20,IF(O17="Medium",'⚙️ Rate Card'!C19,'⚙️ Rate Card'!C18)))+M17*IF(OR(P17="Decommission",P17=""),'⚙️ Rate Card'!C29,IF(P17="EC2 (Lift &amp; Shift)",'⚙️ Rate Card'!C25,IF(P17="AWS QuickSight",'⚙️ Rate Card'!C27,IF(P17="Power BI",'⚙️ Rate Card'!C28,IF(P17="Custom Reporting Solution",'⚙️ Rate Card'!C26,0)))))+IF(B17="",0,'⚙️ Rate Card'!C33+(D17/100)*'⚙️ Rate Card'!C34))*'⚙️ Rate Card'!C35)</f>
        <v>0</v>
      </c>
      <c r="AA17" s="41" t="n">
        <f aca="false">IF(B17="",0,((D17/100)*'⚙️ Rate Card'!C7+F17*'⚙️ Rate Card'!C9+G17*'⚙️ Rate Card'!C10+H17*'⚙️ Rate Card'!C11+I17*'⚙️ Rate Card'!C12+J17*'⚙️ Rate Card'!C13+K17*'⚙️ Rate Card'!C14+(D17/100)*'⚙️ Rate Card'!C8+L17*IF(OR(O17="N/A",O17="None",O17=""),0,IF(O17="High",'⚙️ Rate Card'!C20,IF(O17="Medium",'⚙️ Rate Card'!C19,'⚙️ Rate Card'!C18)))+M17*IF(OR(P17="Decommission",P17=""),'⚙️ Rate Card'!C29,IF(P17="EC2 (Lift &amp; Shift)",'⚙️ Rate Card'!C25,IF(P17="AWS QuickSight",'⚙️ Rate Card'!C27,IF(P17="Power BI",'⚙️ Rate Card'!C28,IF(P17="Custom Reporting Solution",'⚙️ Rate Card'!C26,0)))))+IF(B17="",0,'⚙️ Rate Card'!C33+(D17/100)*'⚙️ Rate Card'!C34))*'⚙️ Rate Card'!C36)</f>
        <v>0</v>
      </c>
      <c r="AB17" s="37" t="n">
        <f aca="false">'✏️ SME Input'!T18</f>
        <v>0</v>
      </c>
      <c r="AC17" s="41" t="n">
        <f aca="false">IF(B17="",0,AB17*0.75)</f>
        <v>0</v>
      </c>
      <c r="AD17" s="41" t="n">
        <f aca="false">IF(B17="",0,AB17*0.75)</f>
        <v>0</v>
      </c>
      <c r="AE17" s="41" t="n">
        <f aca="false">IF(B17="",0,AB17*0.75)</f>
        <v>0</v>
      </c>
      <c r="AF17" s="41" t="n">
        <f aca="false">IF(B17="",0,AB17*2.25)</f>
        <v>0</v>
      </c>
      <c r="AG17" s="41" t="n">
        <f aca="false">IF(B17="",0,((D17/100)*'⚙️ Rate Card'!C7+F17*'⚙️ Rate Card'!C9+G17*'⚙️ Rate Card'!C10+H17*'⚙️ Rate Card'!C11+I17*'⚙️ Rate Card'!C12+J17*'⚙️ Rate Card'!C13+K17*'⚙️ Rate Card'!C14+(D17/100)*'⚙️ Rate Card'!C8)*0.4)</f>
        <v>0</v>
      </c>
      <c r="AH17" s="41" t="n">
        <f aca="false">IF(B17="",0,((D17/100)*'⚙️ Rate Card'!C7+F17*'⚙️ Rate Card'!C9+G17*'⚙️ Rate Card'!C10+H17*'⚙️ Rate Card'!C11+I17*'⚙️ Rate Card'!C12+J17*'⚙️ Rate Card'!C13+K17*'⚙️ Rate Card'!C14+(D17/100)*'⚙️ Rate Card'!C8)*0.4)</f>
        <v>0</v>
      </c>
      <c r="AI17" s="41" t="n">
        <f aca="false">IF(B17="",0,((D17/100)*'⚙️ Rate Card'!C7+F17*'⚙️ Rate Card'!C9+G17*'⚙️ Rate Card'!C10+H17*'⚙️ Rate Card'!C11+I17*'⚙️ Rate Card'!C12+J17*'⚙️ Rate Card'!C13+K17*'⚙️ Rate Card'!C14+(D17/100)*'⚙️ Rate Card'!C8)*0.2)</f>
        <v>0</v>
      </c>
      <c r="AJ17" s="41" t="n">
        <f aca="false">IF(B17="",0,(L17*IF(OR(O17="N/A",O17="None",O17=""),0,IF(O17="High",'⚙️ Rate Card'!C20,IF(O17="Medium",'⚙️ Rate Card'!C19,'⚙️ Rate Card'!C18))))*0.5)</f>
        <v>0</v>
      </c>
      <c r="AK17" s="41" t="n">
        <f aca="false">IF(B17="",0,(L17*IF(OR(O17="N/A",O17="None",O17=""),0,IF(O17="High",'⚙️ Rate Card'!C20,IF(O17="Medium",'⚙️ Rate Card'!C19,'⚙️ Rate Card'!C18))))*0.35)</f>
        <v>0</v>
      </c>
      <c r="AL17" s="41" t="n">
        <f aca="false">IF(B17="",0,(L17*IF(OR(O17="N/A",O17="None",O17=""),0,IF(O17="High",'⚙️ Rate Card'!C20,IF(O17="Medium",'⚙️ Rate Card'!C19,'⚙️ Rate Card'!C18))))*0.15)</f>
        <v>0</v>
      </c>
      <c r="AM17" s="35" t="n">
        <f aca="false">IF(B17="",0,AG17+AJ17+(M17*IF(OR(P17="Decommission",P17=""),'⚙️ Rate Card'!C29,IF(P17="EC2 (Lift &amp; Shift)",'⚙️ Rate Card'!C25,IF(P17="AWS QuickSight",'⚙️ Rate Card'!C27,IF(P17="Power BI",'⚙️ Rate Card'!C28,IF(P17="Custom Reporting Solution",'⚙️ Rate Card'!C26,0))))))*0.4+(IF(B17="",0,'⚙️ Rate Card'!C33+(D17/100)*'⚙️ Rate Card'!C34))*0.4+AC17+(((D17/100)*'⚙️ Rate Card'!C7+F17*'⚙️ Rate Card'!C9+G17*'⚙️ Rate Card'!C10+H17*'⚙️ Rate Card'!C11+I17*'⚙️ Rate Card'!C12+J17*'⚙️ Rate Card'!C13+K17*'⚙️ Rate Card'!C14+(D17/100)*'⚙️ Rate Card'!C8+L17*IF(OR(O17="N/A",O17="None",O17=""),0,IF(O17="High",'⚙️ Rate Card'!C20,IF(O17="Medium",'⚙️ Rate Card'!C19,'⚙️ Rate Card'!C18)))+M17*IF(OR(P17="Decommission",P17=""),'⚙️ Rate Card'!C29,IF(P17="EC2 (Lift &amp; Shift)",'⚙️ Rate Card'!C25,IF(P17="AWS QuickSight",'⚙️ Rate Card'!C27,IF(P17="Power BI",'⚙️ Rate Card'!C28,IF(P17="Custom Reporting Solution",'⚙️ Rate Card'!C26,0)))))+IF(B17="",0,'⚙️ Rate Card'!C33+(D17/100)*'⚙️ Rate Card'!C34)))*'⚙️ Rate Card'!C35*0.4+(((D17/100)*'⚙️ Rate Card'!C7+F17*'⚙️ Rate Card'!C9+G17*'⚙️ Rate Card'!C10+H17*'⚙️ Rate Card'!C11+I17*'⚙️ Rate Card'!C12+J17*'⚙️ Rate Card'!C13+K17*'⚙️ Rate Card'!C14+(D17/100)*'⚙️ Rate Card'!C8+L17*IF(OR(O17="N/A",O17="None",O17=""),0,IF(O17="High",'⚙️ Rate Card'!C20,IF(O17="Medium",'⚙️ Rate Card'!C19,'⚙️ Rate Card'!C18)))+M17*IF(OR(P17="Decommission",P17=""),'⚙️ Rate Card'!C29,IF(P17="EC2 (Lift &amp; Shift)",'⚙️ Rate Card'!C25,IF(P17="AWS QuickSight",'⚙️ Rate Card'!C27,IF(P17="Power BI",'⚙️ Rate Card'!C28,IF(P17="Custom Reporting Solution",'⚙️ Rate Card'!C26,0)))))+IF(B17="",0,'⚙️ Rate Card'!C33+(D17/100)*'⚙️ Rate Card'!C34)))*'⚙️ Rate Card'!C36*0.4+(((D17/100)*'⚙️ Rate Card'!C7+F17*'⚙️ Rate Card'!C9+G17*'⚙️ Rate Card'!C10+H17*'⚙️ Rate Card'!C11+I17*'⚙️ Rate Card'!C12+J17*'⚙️ Rate Card'!C13+K17*'⚙️ Rate Card'!C14+(D17/100)*'⚙️ Rate Card'!C8+L17*IF(OR(O17="N/A",O17="None",O17=""),0,IF(O17="High",'⚙️ Rate Card'!C20,IF(O17="Medium",'⚙️ Rate Card'!C19,'⚙️ Rate Card'!C18)))+M17*IF(OR(P17="Decommission",P17=""),'⚙️ Rate Card'!C29,IF(P17="EC2 (Lift &amp; Shift)",'⚙️ Rate Card'!C25,IF(P17="AWS QuickSight",'⚙️ Rate Card'!C27,IF(P17="Power BI",'⚙️ Rate Card'!C28,IF(P17="Custom Reporting Solution",'⚙️ Rate Card'!C26,0)))))+IF(B17="",0,'⚙️ Rate Card'!C33+(D17/100)*'⚙️ Rate Card'!C34)))*'⚙️ Rate Card'!C37*0.4)</f>
        <v>0</v>
      </c>
      <c r="AN17" s="38" t="n">
        <f aca="false">IF(B17="",0,AH17+AK17+(M17*IF(OR(P17="Decommission",P17=""),'⚙️ Rate Card'!C29,IF(P17="EC2 (Lift &amp; Shift)",'⚙️ Rate Card'!C25,IF(P17="AWS QuickSight",'⚙️ Rate Card'!C27,IF(P17="Power BI",'⚙️ Rate Card'!C28,IF(P17="Custom Reporting Solution",'⚙️ Rate Card'!C26,0))))))*0.4+(IF(B17="",0,'⚙️ Rate Card'!C33+(D17/100)*'⚙️ Rate Card'!C34))*0.4+AD17+(((D17/100)*'⚙️ Rate Card'!C7+F17*'⚙️ Rate Card'!C9+G17*'⚙️ Rate Card'!C10+H17*'⚙️ Rate Card'!C11+I17*'⚙️ Rate Card'!C12+J17*'⚙️ Rate Card'!C13+K17*'⚙️ Rate Card'!C14+(D17/100)*'⚙️ Rate Card'!C8+L17*IF(OR(O17="N/A",O17="None",O17=""),0,IF(O17="High",'⚙️ Rate Card'!C20,IF(O17="Medium",'⚙️ Rate Card'!C19,'⚙️ Rate Card'!C18)))+M17*IF(OR(P17="Decommission",P17=""),'⚙️ Rate Card'!C29,IF(P17="EC2 (Lift &amp; Shift)",'⚙️ Rate Card'!C25,IF(P17="AWS QuickSight",'⚙️ Rate Card'!C27,IF(P17="Power BI",'⚙️ Rate Card'!C28,IF(P17="Custom Reporting Solution",'⚙️ Rate Card'!C26,0)))))+IF(B17="",0,'⚙️ Rate Card'!C33+(D17/100)*'⚙️ Rate Card'!C34)))*'⚙️ Rate Card'!C35*0.4+(((D17/100)*'⚙️ Rate Card'!C7+F17*'⚙️ Rate Card'!C9+G17*'⚙️ Rate Card'!C10+H17*'⚙️ Rate Card'!C11+I17*'⚙️ Rate Card'!C12+J17*'⚙️ Rate Card'!C13+K17*'⚙️ Rate Card'!C14+(D17/100)*'⚙️ Rate Card'!C8+L17*IF(OR(O17="N/A",O17="None",O17=""),0,IF(O17="High",'⚙️ Rate Card'!C20,IF(O17="Medium",'⚙️ Rate Card'!C19,'⚙️ Rate Card'!C18)))+M17*IF(OR(P17="Decommission",P17=""),'⚙️ Rate Card'!C29,IF(P17="EC2 (Lift &amp; Shift)",'⚙️ Rate Card'!C25,IF(P17="AWS QuickSight",'⚙️ Rate Card'!C27,IF(P17="Power BI",'⚙️ Rate Card'!C28,IF(P17="Custom Reporting Solution",'⚙️ Rate Card'!C26,0)))))+IF(B17="",0,'⚙️ Rate Card'!C33+(D17/100)*'⚙️ Rate Card'!C34)))*'⚙️ Rate Card'!C36*0.4+(((D17/100)*'⚙️ Rate Card'!C7+F17*'⚙️ Rate Card'!C9+G17*'⚙️ Rate Card'!C10+H17*'⚙️ Rate Card'!C11+I17*'⚙️ Rate Card'!C12+J17*'⚙️ Rate Card'!C13+K17*'⚙️ Rate Card'!C14+(D17/100)*'⚙️ Rate Card'!C8+L17*IF(OR(O17="N/A",O17="None",O17=""),0,IF(O17="High",'⚙️ Rate Card'!C20,IF(O17="Medium",'⚙️ Rate Card'!C19,'⚙️ Rate Card'!C18)))+M17*IF(OR(P17="Decommission",P17=""),'⚙️ Rate Card'!C29,IF(P17="EC2 (Lift &amp; Shift)",'⚙️ Rate Card'!C25,IF(P17="AWS QuickSight",'⚙️ Rate Card'!C27,IF(P17="Power BI",'⚙️ Rate Card'!C28,IF(P17="Custom Reporting Solution",'⚙️ Rate Card'!C26,0)))))+IF(B17="",0,'⚙️ Rate Card'!C33+(D17/100)*'⚙️ Rate Card'!C34)))*'⚙️ Rate Card'!C37*0.4)</f>
        <v>0</v>
      </c>
      <c r="AO17" s="39" t="n">
        <f aca="false">IF(B17="",0,AI17+AL17+(M17*IF(OR(P17="Decommission",P17=""),'⚙️ Rate Card'!C29,IF(P17="EC2 (Lift &amp; Shift)",'⚙️ Rate Card'!C25,IF(P17="AWS QuickSight",'⚙️ Rate Card'!C27,IF(P17="Power BI",'⚙️ Rate Card'!C28,IF(P17="Custom Reporting Solution",'⚙️ Rate Card'!C26,0))))))*0.2+(IF(B17="",0,'⚙️ Rate Card'!C33+(D17/100)*'⚙️ Rate Card'!C34))*0.2+AE17+(((D17/100)*'⚙️ Rate Card'!C7+F17*'⚙️ Rate Card'!C9+G17*'⚙️ Rate Card'!C10+H17*'⚙️ Rate Card'!C11+I17*'⚙️ Rate Card'!C12+J17*'⚙️ Rate Card'!C13+K17*'⚙️ Rate Card'!C14+(D17/100)*'⚙️ Rate Card'!C8+L17*IF(OR(O17="N/A",O17="None",O17=""),0,IF(O17="High",'⚙️ Rate Card'!C20,IF(O17="Medium",'⚙️ Rate Card'!C19,'⚙️ Rate Card'!C18)))+M17*IF(OR(P17="Decommission",P17=""),'⚙️ Rate Card'!C29,IF(P17="EC2 (Lift &amp; Shift)",'⚙️ Rate Card'!C25,IF(P17="AWS QuickSight",'⚙️ Rate Card'!C27,IF(P17="Power BI",'⚙️ Rate Card'!C28,IF(P17="Custom Reporting Solution",'⚙️ Rate Card'!C26,0)))))+IF(B17="",0,'⚙️ Rate Card'!C33+(D17/100)*'⚙️ Rate Card'!C34)))*'⚙️ Rate Card'!C35*0.2+(((D17/100)*'⚙️ Rate Card'!C7+F17*'⚙️ Rate Card'!C9+G17*'⚙️ Rate Card'!C10+H17*'⚙️ Rate Card'!C11+I17*'⚙️ Rate Card'!C12+J17*'⚙️ Rate Card'!C13+K17*'⚙️ Rate Card'!C14+(D17/100)*'⚙️ Rate Card'!C8+L17*IF(OR(O17="N/A",O17="None",O17=""),0,IF(O17="High",'⚙️ Rate Card'!C20,IF(O17="Medium",'⚙️ Rate Card'!C19,'⚙️ Rate Card'!C18)))+M17*IF(OR(P17="Decommission",P17=""),'⚙️ Rate Card'!C29,IF(P17="EC2 (Lift &amp; Shift)",'⚙️ Rate Card'!C25,IF(P17="AWS QuickSight",'⚙️ Rate Card'!C27,IF(P17="Power BI",'⚙️ Rate Card'!C28,IF(P17="Custom Reporting Solution",'⚙️ Rate Card'!C26,0)))))+IF(B17="",0,'⚙️ Rate Card'!C33+(D17/100)*'⚙️ Rate Card'!C34)))*'⚙️ Rate Card'!C36*0.2+(((D17/100)*'⚙️ Rate Card'!C7+F17*'⚙️ Rate Card'!C9+G17*'⚙️ Rate Card'!C10+H17*'⚙️ Rate Card'!C11+I17*'⚙️ Rate Card'!C12+J17*'⚙️ Rate Card'!C13+K17*'⚙️ Rate Card'!C14+(D17/100)*'⚙️ Rate Card'!C8+L17*IF(OR(O17="N/A",O17="None",O17=""),0,IF(O17="High",'⚙️ Rate Card'!C20,IF(O17="Medium",'⚙️ Rate Card'!C19,'⚙️ Rate Card'!C18)))+M17*IF(OR(P17="Decommission",P17=""),'⚙️ Rate Card'!C29,IF(P17="EC2 (Lift &amp; Shift)",'⚙️ Rate Card'!C25,IF(P17="AWS QuickSight",'⚙️ Rate Card'!C27,IF(P17="Power BI",'⚙️ Rate Card'!C28,IF(P17="Custom Reporting Solution",'⚙️ Rate Card'!C26,0)))))+IF(B17="",0,'⚙️ Rate Card'!C33+(D17/100)*'⚙️ Rate Card'!C34)))*'⚙️ Rate Card'!C37*0.2)</f>
        <v>0</v>
      </c>
      <c r="AP17" s="42" t="n">
        <f aca="false">'✏️ SME Input'!B18</f>
        <v>0</v>
      </c>
      <c r="AQ17" s="42" t="n">
        <f aca="false">'✏️ SME Input'!C18</f>
        <v>0</v>
      </c>
      <c r="AR17" s="42" t="n">
        <f aca="false">'✏️ SME Input'!D18</f>
        <v>0</v>
      </c>
    </row>
    <row r="18" customFormat="false" ht="18" hidden="false" customHeight="true" outlineLevel="0" collapsed="false">
      <c r="B18" s="30" t="n">
        <f aca="false">'✏️ SME Input'!E19</f>
        <v>0</v>
      </c>
      <c r="C18" s="31" t="str">
        <f aca="false">IF(B18="","",IF(D18&gt;1000,"T3 Complex",IF(D18&gt;500,"T2 Moderate","T1 Simple")))</f>
        <v/>
      </c>
      <c r="D18" s="32" t="n">
        <f aca="false">'✏️ SME Input'!G19</f>
        <v>0</v>
      </c>
      <c r="E18" s="32" t="n">
        <f aca="false">'✏️ SME Input'!H19</f>
        <v>0</v>
      </c>
      <c r="F18" s="32" t="n">
        <f aca="false">'✏️ SME Input'!I19</f>
        <v>0</v>
      </c>
      <c r="G18" s="32" t="n">
        <f aca="false">'✏️ SME Input'!J19</f>
        <v>0</v>
      </c>
      <c r="H18" s="32" t="n">
        <f aca="false">'✏️ SME Input'!K19</f>
        <v>0</v>
      </c>
      <c r="I18" s="32" t="n">
        <f aca="false">'✏️ SME Input'!L19</f>
        <v>0</v>
      </c>
      <c r="J18" s="32" t="n">
        <f aca="false">'✏️ SME Input'!M19</f>
        <v>0</v>
      </c>
      <c r="K18" s="32" t="n">
        <f aca="false">'✏️ SME Input'!N19</f>
        <v>0</v>
      </c>
      <c r="L18" s="32" t="n">
        <f aca="false">'✏️ SME Input'!O19</f>
        <v>0</v>
      </c>
      <c r="M18" s="32" t="n">
        <f aca="false">'✏️ SME Input'!P19</f>
        <v>0</v>
      </c>
      <c r="N18" s="17" t="n">
        <f aca="false">'✏️ SME Input'!Q19</f>
        <v>0</v>
      </c>
      <c r="O18" s="33" t="n">
        <f aca="false">'✏️ SME Input'!R19</f>
        <v>0</v>
      </c>
      <c r="P18" s="33" t="n">
        <f aca="false">'✏️ SME Input'!S19</f>
        <v>0</v>
      </c>
      <c r="Q18" s="32" t="n">
        <f aca="false">'✏️ SME Input'!F19</f>
        <v>0</v>
      </c>
      <c r="R18" s="34" t="n">
        <f aca="false">IF(B18="",0,((D18/100)*'⚙️ Rate Card'!C7+F18*'⚙️ Rate Card'!C9+G18*'⚙️ Rate Card'!C10+H18*'⚙️ Rate Card'!C11+I18*'⚙️ Rate Card'!C12+J18*'⚙️ Rate Card'!C13+K18*'⚙️ Rate Card'!C14+(D18/100)*'⚙️ Rate Card'!C8+L18*IF(OR(O18="N/A",O18="None",O18=""),0,IF(O18="High",'⚙️ Rate Card'!C20,IF(O18="Medium",'⚙️ Rate Card'!C19,'⚙️ Rate Card'!C18)))+M18*IF(OR(P18="Decommission",P18=""),'⚙️ Rate Card'!C29,IF(P18="EC2 (Lift &amp; Shift)",'⚙️ Rate Card'!C25,IF(P18="AWS QuickSight",'⚙️ Rate Card'!C27,IF(P18="Power BI",'⚙️ Rate Card'!C28,IF(P18="Custom Reporting Solution",'⚙️ Rate Card'!C26,0)))))+IF(B18="",0,'⚙️ Rate Card'!C33+(D18/100)*'⚙️ Rate Card'!C34))*'⚙️ Rate Card'!C37+(D18/100)*'⚙️ Rate Card'!C7+F18*'⚙️ Rate Card'!C9+G18*'⚙️ Rate Card'!C10+H18*'⚙️ Rate Card'!C11+I18*'⚙️ Rate Card'!C12+J18*'⚙️ Rate Card'!C13+K18*'⚙️ Rate Card'!C14+(D18/100)*'⚙️ Rate Card'!C8+(D18/100)*'⚙️ Rate Card'!C8+L18*IF(OR(O18="N/A",O18="None",O18=""),0,IF(O18="High",'⚙️ Rate Card'!C20,IF(O18="Medium",'⚙️ Rate Card'!C19,'⚙️ Rate Card'!C18)))+M18*IF(OR(P18="Decommission",P18=""),'⚙️ Rate Card'!C29,IF(P18="EC2 (Lift &amp; Shift)",'⚙️ Rate Card'!C25,IF(P18="AWS QuickSight",'⚙️ Rate Card'!C27,IF(P18="Power BI",'⚙️ Rate Card'!C28,IF(P18="Custom Reporting Solution",'⚙️ Rate Card'!C26,0)))))+IF(B18="",0,'⚙️ Rate Card'!C33+(D18/100)*'⚙️ Rate Card'!C34)+((D18/100)*'⚙️ Rate Card'!C7+F18*'⚙️ Rate Card'!C9+G18*'⚙️ Rate Card'!C10+H18*'⚙️ Rate Card'!C11+I18*'⚙️ Rate Card'!C12+J18*'⚙️ Rate Card'!C13+K18*'⚙️ Rate Card'!C14+(D18/100)*'⚙️ Rate Card'!C8+L18*IF(OR(O18="N/A",O18="None",O18=""),0,IF(O18="High",'⚙️ Rate Card'!C20,IF(O18="Medium",'⚙️ Rate Card'!C19,'⚙️ Rate Card'!C18)))+M18*IF(OR(P18="Decommission",P18=""),'⚙️ Rate Card'!C29,IF(P18="EC2 (Lift &amp; Shift)",'⚙️ Rate Card'!C25,IF(P18="AWS QuickSight",'⚙️ Rate Card'!C27,IF(P18="Power BI",'⚙️ Rate Card'!C28,IF(P18="Custom Reporting Solution",'⚙️ Rate Card'!C26,0)))))+IF(B18="",0,'⚙️ Rate Card'!C33+(D18/100)*'⚙️ Rate Card'!C34))*'⚙️ Rate Card'!C35+((D18/100)*'⚙️ Rate Card'!C7+F18*'⚙️ Rate Card'!C9+G18*'⚙️ Rate Card'!C10+H18*'⚙️ Rate Card'!C11+I18*'⚙️ Rate Card'!C12+J18*'⚙️ Rate Card'!C13+K18*'⚙️ Rate Card'!C14+(D18/100)*'⚙️ Rate Card'!C8+L18*IF(OR(O18="N/A",O18="None",O18=""),0,IF(O18="High",'⚙️ Rate Card'!C20,IF(O18="Medium",'⚙️ Rate Card'!C19,'⚙️ Rate Card'!C18)))+M18*IF(OR(P18="Decommission",P18=""),'⚙️ Rate Card'!C29,IF(P18="EC2 (Lift &amp; Shift)",'⚙️ Rate Card'!C25,IF(P18="AWS QuickSight",'⚙️ Rate Card'!C27,IF(P18="Power BI",'⚙️ Rate Card'!C28,IF(P18="Custom Reporting Solution",'⚙️ Rate Card'!C26,0)))))+IF(B18="",0,'⚙️ Rate Card'!C33+(D18/100)*'⚙️ Rate Card'!C34))*'⚙️ Rate Card'!C36)</f>
        <v>0</v>
      </c>
      <c r="S18" s="34" t="n">
        <f aca="false">IF(B18="",0,(((D18/100)*'⚙️ Rate Card'!C7+F18*'⚙️ Rate Card'!C9+G18*'⚙️ Rate Card'!C10+H18*'⚙️ Rate Card'!C11+I18*'⚙️ Rate Card'!C12+J18*'⚙️ Rate Card'!C13+K18*'⚙️ Rate Card'!C14+(D18/100)*'⚙️ Rate Card'!C8+L18*IF(OR(O18="N/A",O18="None",O18=""),0,IF(O18="High",'⚙️ Rate Card'!C20,IF(O18="Medium",'⚙️ Rate Card'!C19,'⚙️ Rate Card'!C18)))+M18*IF(OR(P18="Decommission",P18=""),'⚙️ Rate Card'!C29,IF(P18="EC2 (Lift &amp; Shift)",'⚙️ Rate Card'!C25,IF(P18="AWS QuickSight",'⚙️ Rate Card'!C27,IF(P18="Power BI",'⚙️ Rate Card'!C28,IF(P18="Custom Reporting Solution",'⚙️ Rate Card'!C26,0)))))+IF(B18="",0,'⚙️ Rate Card'!C33+(D18/100)*'⚙️ Rate Card'!C34))*'⚙️ Rate Card'!C37)*(1-'📊 Dashboard'!C10/100)+(((D18/100)*'⚙️ Rate Card'!C7+F18*'⚙️ Rate Card'!C9+G18*'⚙️ Rate Card'!C10+H18*'⚙️ Rate Card'!C11+I18*'⚙️ Rate Card'!C12+J18*'⚙️ Rate Card'!C13+K18*'⚙️ Rate Card'!C14+(D18/100)*'⚙️ Rate Card'!C8+(D18/100)*'⚙️ Rate Card'!C8))*(1-'📊 Dashboard'!C10/100)+(L18*IF(OR(O18="N/A",O18="None",O18=""),0,IF(O18="High",'⚙️ Rate Card'!C20,IF(O18="Medium",'⚙️ Rate Card'!C19,'⚙️ Rate Card'!C18))))*(1-'📊 Dashboard'!C11/100)+(M18*IF(OR(P18="Decommission",P18=""),'⚙️ Rate Card'!C29,IF(P18="EC2 (Lift &amp; Shift)",'⚙️ Rate Card'!C25,IF(P18="AWS QuickSight",'⚙️ Rate Card'!C27,IF(P18="Power BI",'⚙️ Rate Card'!C28,IF(P18="Custom Reporting Solution",'⚙️ Rate Card'!C26,0))))))*(1-'📊 Dashboard'!C12/100)+(IF(B18="",0,'⚙️ Rate Card'!C33+(D18/100)*'⚙️ Rate Card'!C34))*(1-'📊 Dashboard'!C10/100)+(((D18/100)*'⚙️ Rate Card'!C7+F18*'⚙️ Rate Card'!C9+G18*'⚙️ Rate Card'!C10+H18*'⚙️ Rate Card'!C11+I18*'⚙️ Rate Card'!C12+J18*'⚙️ Rate Card'!C13+K18*'⚙️ Rate Card'!C14+(D18/100)*'⚙️ Rate Card'!C8+L18*IF(OR(O18="N/A",O18="None",O18=""),0,IF(O18="High",'⚙️ Rate Card'!C20,IF(O18="Medium",'⚙️ Rate Card'!C19,'⚙️ Rate Card'!C18)))+M18*IF(OR(P18="Decommission",P18=""),'⚙️ Rate Card'!C29,IF(P18="EC2 (Lift &amp; Shift)",'⚙️ Rate Card'!C25,IF(P18="AWS QuickSight",'⚙️ Rate Card'!C27,IF(P18="Power BI",'⚙️ Rate Card'!C28,IF(P18="Custom Reporting Solution",'⚙️ Rate Card'!C26,0)))))+IF(B18="",0,'⚙️ Rate Card'!C33+(D18/100)*'⚙️ Rate Card'!C34))*'⚙️ Rate Card'!C35)*(1-'📊 Dashboard'!C13/100)+(((D18/100)*'⚙️ Rate Card'!C7+F18*'⚙️ Rate Card'!C9+G18*'⚙️ Rate Card'!C10+H18*'⚙️ Rate Card'!C11+I18*'⚙️ Rate Card'!C12+J18*'⚙️ Rate Card'!C13+K18*'⚙️ Rate Card'!C14+(D18/100)*'⚙️ Rate Card'!C8+L18*IF(OR(O18="N/A",O18="None",O18=""),0,IF(O18="High",'⚙️ Rate Card'!C20,IF(O18="Medium",'⚙️ Rate Card'!C19,'⚙️ Rate Card'!C18)))+M18*IF(OR(P18="Decommission",P18=""),'⚙️ Rate Card'!C29,IF(P18="EC2 (Lift &amp; Shift)",'⚙️ Rate Card'!C25,IF(P18="AWS QuickSight",'⚙️ Rate Card'!C27,IF(P18="Power BI",'⚙️ Rate Card'!C28,IF(P18="Custom Reporting Solution",'⚙️ Rate Card'!C26,0)))))+IF(B18="",0,'⚙️ Rate Card'!C33+(D18/100)*'⚙️ Rate Card'!C34))*'⚙️ Rate Card'!C36)*(1-'📊 Dashboard'!C10/100))</f>
        <v>0</v>
      </c>
      <c r="T18" s="35" t="n">
        <f aca="false">IF(B18="",0,S18*(1+'📊 Dashboard'!C14/100))</f>
        <v>0</v>
      </c>
      <c r="U18" s="36" t="n">
        <f aca="false">IF(B18="",0,((D18/100)*'⚙️ Rate Card'!C7+F18*'⚙️ Rate Card'!C9+G18*'⚙️ Rate Card'!C10+H18*'⚙️ Rate Card'!C11+I18*'⚙️ Rate Card'!C12+J18*'⚙️ Rate Card'!C13+K18*'⚙️ Rate Card'!C14+(D18/100)*'⚙️ Rate Card'!C8+L18*IF(OR(O18="N/A",O18="None",O18=""),0,IF(O18="High",'⚙️ Rate Card'!C20,IF(O18="Medium",'⚙️ Rate Card'!C19,'⚙️ Rate Card'!C18)))+M18*IF(OR(P18="Decommission",P18=""),'⚙️ Rate Card'!C29,IF(P18="EC2 (Lift &amp; Shift)",'⚙️ Rate Card'!C25,IF(P18="AWS QuickSight",'⚙️ Rate Card'!C27,IF(P18="Power BI",'⚙️ Rate Card'!C28,IF(P18="Custom Reporting Solution",'⚙️ Rate Card'!C26,0)))))+IF(B18="",0,'⚙️ Rate Card'!C33+(D18/100)*'⚙️ Rate Card'!C34))*'⚙️ Rate Card'!C37)</f>
        <v>0</v>
      </c>
      <c r="V18" s="36" t="n">
        <f aca="false">IF(B18="",0,(D18/100)*'⚙️ Rate Card'!C7+F18*'⚙️ Rate Card'!C9+G18*'⚙️ Rate Card'!C10+H18*'⚙️ Rate Card'!C11+I18*'⚙️ Rate Card'!C12+J18*'⚙️ Rate Card'!C13+K18*'⚙️ Rate Card'!C14+(D18/100)*'⚙️ Rate Card'!C8+(D18/100)*'⚙️ Rate Card'!C8)</f>
        <v>0</v>
      </c>
      <c r="W18" s="36" t="n">
        <f aca="false">IF(B18="",0,L18*IF(OR(O18="N/A",O18="None",O18=""),0,IF(O18="High",'⚙️ Rate Card'!C20,IF(O18="Medium",'⚙️ Rate Card'!C19,'⚙️ Rate Card'!C18))))</f>
        <v>0</v>
      </c>
      <c r="X18" s="36" t="n">
        <f aca="false">IF(B18="",0,M18*IF(OR(P18="Decommission",P18=""),'⚙️ Rate Card'!C29,IF(P18="EC2 (Lift &amp; Shift)",'⚙️ Rate Card'!C25,IF(P18="AWS QuickSight",'⚙️ Rate Card'!C27,IF(P18="Power BI",'⚙️ Rate Card'!C28,IF(P18="Custom Reporting Solution",'⚙️ Rate Card'!C26,0))))))</f>
        <v>0</v>
      </c>
      <c r="Y18" s="36" t="n">
        <f aca="false">IF(B18="",0,IF(B18="",0,'⚙️ Rate Card'!C33+(D18/100)*'⚙️ Rate Card'!C34))</f>
        <v>0</v>
      </c>
      <c r="Z18" s="36" t="n">
        <f aca="false">IF(B18="",0,((D18/100)*'⚙️ Rate Card'!C7+F18*'⚙️ Rate Card'!C9+G18*'⚙️ Rate Card'!C10+H18*'⚙️ Rate Card'!C11+I18*'⚙️ Rate Card'!C12+J18*'⚙️ Rate Card'!C13+K18*'⚙️ Rate Card'!C14+(D18/100)*'⚙️ Rate Card'!C8+L18*IF(OR(O18="N/A",O18="None",O18=""),0,IF(O18="High",'⚙️ Rate Card'!C20,IF(O18="Medium",'⚙️ Rate Card'!C19,'⚙️ Rate Card'!C18)))+M18*IF(OR(P18="Decommission",P18=""),'⚙️ Rate Card'!C29,IF(P18="EC2 (Lift &amp; Shift)",'⚙️ Rate Card'!C25,IF(P18="AWS QuickSight",'⚙️ Rate Card'!C27,IF(P18="Power BI",'⚙️ Rate Card'!C28,IF(P18="Custom Reporting Solution",'⚙️ Rate Card'!C26,0)))))+IF(B18="",0,'⚙️ Rate Card'!C33+(D18/100)*'⚙️ Rate Card'!C34))*'⚙️ Rate Card'!C35)</f>
        <v>0</v>
      </c>
      <c r="AA18" s="36" t="n">
        <f aca="false">IF(B18="",0,((D18/100)*'⚙️ Rate Card'!C7+F18*'⚙️ Rate Card'!C9+G18*'⚙️ Rate Card'!C10+H18*'⚙️ Rate Card'!C11+I18*'⚙️ Rate Card'!C12+J18*'⚙️ Rate Card'!C13+K18*'⚙️ Rate Card'!C14+(D18/100)*'⚙️ Rate Card'!C8+L18*IF(OR(O18="N/A",O18="None",O18=""),0,IF(O18="High",'⚙️ Rate Card'!C20,IF(O18="Medium",'⚙️ Rate Card'!C19,'⚙️ Rate Card'!C18)))+M18*IF(OR(P18="Decommission",P18=""),'⚙️ Rate Card'!C29,IF(P18="EC2 (Lift &amp; Shift)",'⚙️ Rate Card'!C25,IF(P18="AWS QuickSight",'⚙️ Rate Card'!C27,IF(P18="Power BI",'⚙️ Rate Card'!C28,IF(P18="Custom Reporting Solution",'⚙️ Rate Card'!C26,0)))))+IF(B18="",0,'⚙️ Rate Card'!C33+(D18/100)*'⚙️ Rate Card'!C34))*'⚙️ Rate Card'!C36)</f>
        <v>0</v>
      </c>
      <c r="AB18" s="37" t="n">
        <f aca="false">'✏️ SME Input'!T19</f>
        <v>0</v>
      </c>
      <c r="AC18" s="36" t="n">
        <f aca="false">IF(B18="",0,AB18*0.75)</f>
        <v>0</v>
      </c>
      <c r="AD18" s="36" t="n">
        <f aca="false">IF(B18="",0,AB18*0.75)</f>
        <v>0</v>
      </c>
      <c r="AE18" s="36" t="n">
        <f aca="false">IF(B18="",0,AB18*0.75)</f>
        <v>0</v>
      </c>
      <c r="AF18" s="36" t="n">
        <f aca="false">IF(B18="",0,AB18*2.25)</f>
        <v>0</v>
      </c>
      <c r="AG18" s="36" t="n">
        <f aca="false">IF(B18="",0,((D18/100)*'⚙️ Rate Card'!C7+F18*'⚙️ Rate Card'!C9+G18*'⚙️ Rate Card'!C10+H18*'⚙️ Rate Card'!C11+I18*'⚙️ Rate Card'!C12+J18*'⚙️ Rate Card'!C13+K18*'⚙️ Rate Card'!C14+(D18/100)*'⚙️ Rate Card'!C8)*0.4)</f>
        <v>0</v>
      </c>
      <c r="AH18" s="36" t="n">
        <f aca="false">IF(B18="",0,((D18/100)*'⚙️ Rate Card'!C7+F18*'⚙️ Rate Card'!C9+G18*'⚙️ Rate Card'!C10+H18*'⚙️ Rate Card'!C11+I18*'⚙️ Rate Card'!C12+J18*'⚙️ Rate Card'!C13+K18*'⚙️ Rate Card'!C14+(D18/100)*'⚙️ Rate Card'!C8)*0.4)</f>
        <v>0</v>
      </c>
      <c r="AI18" s="36" t="n">
        <f aca="false">IF(B18="",0,((D18/100)*'⚙️ Rate Card'!C7+F18*'⚙️ Rate Card'!C9+G18*'⚙️ Rate Card'!C10+H18*'⚙️ Rate Card'!C11+I18*'⚙️ Rate Card'!C12+J18*'⚙️ Rate Card'!C13+K18*'⚙️ Rate Card'!C14+(D18/100)*'⚙️ Rate Card'!C8)*0.2)</f>
        <v>0</v>
      </c>
      <c r="AJ18" s="36" t="n">
        <f aca="false">IF(B18="",0,(L18*IF(OR(O18="N/A",O18="None",O18=""),0,IF(O18="High",'⚙️ Rate Card'!C20,IF(O18="Medium",'⚙️ Rate Card'!C19,'⚙️ Rate Card'!C18))))*0.5)</f>
        <v>0</v>
      </c>
      <c r="AK18" s="36" t="n">
        <f aca="false">IF(B18="",0,(L18*IF(OR(O18="N/A",O18="None",O18=""),0,IF(O18="High",'⚙️ Rate Card'!C20,IF(O18="Medium",'⚙️ Rate Card'!C19,'⚙️ Rate Card'!C18))))*0.35)</f>
        <v>0</v>
      </c>
      <c r="AL18" s="36" t="n">
        <f aca="false">IF(B18="",0,(L18*IF(OR(O18="N/A",O18="None",O18=""),0,IF(O18="High",'⚙️ Rate Card'!C20,IF(O18="Medium",'⚙️ Rate Card'!C19,'⚙️ Rate Card'!C18))))*0.15)</f>
        <v>0</v>
      </c>
      <c r="AM18" s="35" t="n">
        <f aca="false">IF(B18="",0,AG18+AJ18+(M18*IF(OR(P18="Decommission",P18=""),'⚙️ Rate Card'!C29,IF(P18="EC2 (Lift &amp; Shift)",'⚙️ Rate Card'!C25,IF(P18="AWS QuickSight",'⚙️ Rate Card'!C27,IF(P18="Power BI",'⚙️ Rate Card'!C28,IF(P18="Custom Reporting Solution",'⚙️ Rate Card'!C26,0))))))*0.4+(IF(B18="",0,'⚙️ Rate Card'!C33+(D18/100)*'⚙️ Rate Card'!C34))*0.4+AC18+(((D18/100)*'⚙️ Rate Card'!C7+F18*'⚙️ Rate Card'!C9+G18*'⚙️ Rate Card'!C10+H18*'⚙️ Rate Card'!C11+I18*'⚙️ Rate Card'!C12+J18*'⚙️ Rate Card'!C13+K18*'⚙️ Rate Card'!C14+(D18/100)*'⚙️ Rate Card'!C8+L18*IF(OR(O18="N/A",O18="None",O18=""),0,IF(O18="High",'⚙️ Rate Card'!C20,IF(O18="Medium",'⚙️ Rate Card'!C19,'⚙️ Rate Card'!C18)))+M18*IF(OR(P18="Decommission",P18=""),'⚙️ Rate Card'!C29,IF(P18="EC2 (Lift &amp; Shift)",'⚙️ Rate Card'!C25,IF(P18="AWS QuickSight",'⚙️ Rate Card'!C27,IF(P18="Power BI",'⚙️ Rate Card'!C28,IF(P18="Custom Reporting Solution",'⚙️ Rate Card'!C26,0)))))+IF(B18="",0,'⚙️ Rate Card'!C33+(D18/100)*'⚙️ Rate Card'!C34)))*'⚙️ Rate Card'!C35*0.4+(((D18/100)*'⚙️ Rate Card'!C7+F18*'⚙️ Rate Card'!C9+G18*'⚙️ Rate Card'!C10+H18*'⚙️ Rate Card'!C11+I18*'⚙️ Rate Card'!C12+J18*'⚙️ Rate Card'!C13+K18*'⚙️ Rate Card'!C14+(D18/100)*'⚙️ Rate Card'!C8+L18*IF(OR(O18="N/A",O18="None",O18=""),0,IF(O18="High",'⚙️ Rate Card'!C20,IF(O18="Medium",'⚙️ Rate Card'!C19,'⚙️ Rate Card'!C18)))+M18*IF(OR(P18="Decommission",P18=""),'⚙️ Rate Card'!C29,IF(P18="EC2 (Lift &amp; Shift)",'⚙️ Rate Card'!C25,IF(P18="AWS QuickSight",'⚙️ Rate Card'!C27,IF(P18="Power BI",'⚙️ Rate Card'!C28,IF(P18="Custom Reporting Solution",'⚙️ Rate Card'!C26,0)))))+IF(B18="",0,'⚙️ Rate Card'!C33+(D18/100)*'⚙️ Rate Card'!C34)))*'⚙️ Rate Card'!C36*0.4+(((D18/100)*'⚙️ Rate Card'!C7+F18*'⚙️ Rate Card'!C9+G18*'⚙️ Rate Card'!C10+H18*'⚙️ Rate Card'!C11+I18*'⚙️ Rate Card'!C12+J18*'⚙️ Rate Card'!C13+K18*'⚙️ Rate Card'!C14+(D18/100)*'⚙️ Rate Card'!C8+L18*IF(OR(O18="N/A",O18="None",O18=""),0,IF(O18="High",'⚙️ Rate Card'!C20,IF(O18="Medium",'⚙️ Rate Card'!C19,'⚙️ Rate Card'!C18)))+M18*IF(OR(P18="Decommission",P18=""),'⚙️ Rate Card'!C29,IF(P18="EC2 (Lift &amp; Shift)",'⚙️ Rate Card'!C25,IF(P18="AWS QuickSight",'⚙️ Rate Card'!C27,IF(P18="Power BI",'⚙️ Rate Card'!C28,IF(P18="Custom Reporting Solution",'⚙️ Rate Card'!C26,0)))))+IF(B18="",0,'⚙️ Rate Card'!C33+(D18/100)*'⚙️ Rate Card'!C34)))*'⚙️ Rate Card'!C37*0.4)</f>
        <v>0</v>
      </c>
      <c r="AN18" s="38" t="n">
        <f aca="false">IF(B18="",0,AH18+AK18+(M18*IF(OR(P18="Decommission",P18=""),'⚙️ Rate Card'!C29,IF(P18="EC2 (Lift &amp; Shift)",'⚙️ Rate Card'!C25,IF(P18="AWS QuickSight",'⚙️ Rate Card'!C27,IF(P18="Power BI",'⚙️ Rate Card'!C28,IF(P18="Custom Reporting Solution",'⚙️ Rate Card'!C26,0))))))*0.4+(IF(B18="",0,'⚙️ Rate Card'!C33+(D18/100)*'⚙️ Rate Card'!C34))*0.4+AD18+(((D18/100)*'⚙️ Rate Card'!C7+F18*'⚙️ Rate Card'!C9+G18*'⚙️ Rate Card'!C10+H18*'⚙️ Rate Card'!C11+I18*'⚙️ Rate Card'!C12+J18*'⚙️ Rate Card'!C13+K18*'⚙️ Rate Card'!C14+(D18/100)*'⚙️ Rate Card'!C8+L18*IF(OR(O18="N/A",O18="None",O18=""),0,IF(O18="High",'⚙️ Rate Card'!C20,IF(O18="Medium",'⚙️ Rate Card'!C19,'⚙️ Rate Card'!C18)))+M18*IF(OR(P18="Decommission",P18=""),'⚙️ Rate Card'!C29,IF(P18="EC2 (Lift &amp; Shift)",'⚙️ Rate Card'!C25,IF(P18="AWS QuickSight",'⚙️ Rate Card'!C27,IF(P18="Power BI",'⚙️ Rate Card'!C28,IF(P18="Custom Reporting Solution",'⚙️ Rate Card'!C26,0)))))+IF(B18="",0,'⚙️ Rate Card'!C33+(D18/100)*'⚙️ Rate Card'!C34)))*'⚙️ Rate Card'!C35*0.4+(((D18/100)*'⚙️ Rate Card'!C7+F18*'⚙️ Rate Card'!C9+G18*'⚙️ Rate Card'!C10+H18*'⚙️ Rate Card'!C11+I18*'⚙️ Rate Card'!C12+J18*'⚙️ Rate Card'!C13+K18*'⚙️ Rate Card'!C14+(D18/100)*'⚙️ Rate Card'!C8+L18*IF(OR(O18="N/A",O18="None",O18=""),0,IF(O18="High",'⚙️ Rate Card'!C20,IF(O18="Medium",'⚙️ Rate Card'!C19,'⚙️ Rate Card'!C18)))+M18*IF(OR(P18="Decommission",P18=""),'⚙️ Rate Card'!C29,IF(P18="EC2 (Lift &amp; Shift)",'⚙️ Rate Card'!C25,IF(P18="AWS QuickSight",'⚙️ Rate Card'!C27,IF(P18="Power BI",'⚙️ Rate Card'!C28,IF(P18="Custom Reporting Solution",'⚙️ Rate Card'!C26,0)))))+IF(B18="",0,'⚙️ Rate Card'!C33+(D18/100)*'⚙️ Rate Card'!C34)))*'⚙️ Rate Card'!C36*0.4+(((D18/100)*'⚙️ Rate Card'!C7+F18*'⚙️ Rate Card'!C9+G18*'⚙️ Rate Card'!C10+H18*'⚙️ Rate Card'!C11+I18*'⚙️ Rate Card'!C12+J18*'⚙️ Rate Card'!C13+K18*'⚙️ Rate Card'!C14+(D18/100)*'⚙️ Rate Card'!C8+L18*IF(OR(O18="N/A",O18="None",O18=""),0,IF(O18="High",'⚙️ Rate Card'!C20,IF(O18="Medium",'⚙️ Rate Card'!C19,'⚙️ Rate Card'!C18)))+M18*IF(OR(P18="Decommission",P18=""),'⚙️ Rate Card'!C29,IF(P18="EC2 (Lift &amp; Shift)",'⚙️ Rate Card'!C25,IF(P18="AWS QuickSight",'⚙️ Rate Card'!C27,IF(P18="Power BI",'⚙️ Rate Card'!C28,IF(P18="Custom Reporting Solution",'⚙️ Rate Card'!C26,0)))))+IF(B18="",0,'⚙️ Rate Card'!C33+(D18/100)*'⚙️ Rate Card'!C34)))*'⚙️ Rate Card'!C37*0.4)</f>
        <v>0</v>
      </c>
      <c r="AO18" s="39" t="n">
        <f aca="false">IF(B18="",0,AI18+AL18+(M18*IF(OR(P18="Decommission",P18=""),'⚙️ Rate Card'!C29,IF(P18="EC2 (Lift &amp; Shift)",'⚙️ Rate Card'!C25,IF(P18="AWS QuickSight",'⚙️ Rate Card'!C27,IF(P18="Power BI",'⚙️ Rate Card'!C28,IF(P18="Custom Reporting Solution",'⚙️ Rate Card'!C26,0))))))*0.2+(IF(B18="",0,'⚙️ Rate Card'!C33+(D18/100)*'⚙️ Rate Card'!C34))*0.2+AE18+(((D18/100)*'⚙️ Rate Card'!C7+F18*'⚙️ Rate Card'!C9+G18*'⚙️ Rate Card'!C10+H18*'⚙️ Rate Card'!C11+I18*'⚙️ Rate Card'!C12+J18*'⚙️ Rate Card'!C13+K18*'⚙️ Rate Card'!C14+(D18/100)*'⚙️ Rate Card'!C8+L18*IF(OR(O18="N/A",O18="None",O18=""),0,IF(O18="High",'⚙️ Rate Card'!C20,IF(O18="Medium",'⚙️ Rate Card'!C19,'⚙️ Rate Card'!C18)))+M18*IF(OR(P18="Decommission",P18=""),'⚙️ Rate Card'!C29,IF(P18="EC2 (Lift &amp; Shift)",'⚙️ Rate Card'!C25,IF(P18="AWS QuickSight",'⚙️ Rate Card'!C27,IF(P18="Power BI",'⚙️ Rate Card'!C28,IF(P18="Custom Reporting Solution",'⚙️ Rate Card'!C26,0)))))+IF(B18="",0,'⚙️ Rate Card'!C33+(D18/100)*'⚙️ Rate Card'!C34)))*'⚙️ Rate Card'!C35*0.2+(((D18/100)*'⚙️ Rate Card'!C7+F18*'⚙️ Rate Card'!C9+G18*'⚙️ Rate Card'!C10+H18*'⚙️ Rate Card'!C11+I18*'⚙️ Rate Card'!C12+J18*'⚙️ Rate Card'!C13+K18*'⚙️ Rate Card'!C14+(D18/100)*'⚙️ Rate Card'!C8+L18*IF(OR(O18="N/A",O18="None",O18=""),0,IF(O18="High",'⚙️ Rate Card'!C20,IF(O18="Medium",'⚙️ Rate Card'!C19,'⚙️ Rate Card'!C18)))+M18*IF(OR(P18="Decommission",P18=""),'⚙️ Rate Card'!C29,IF(P18="EC2 (Lift &amp; Shift)",'⚙️ Rate Card'!C25,IF(P18="AWS QuickSight",'⚙️ Rate Card'!C27,IF(P18="Power BI",'⚙️ Rate Card'!C28,IF(P18="Custom Reporting Solution",'⚙️ Rate Card'!C26,0)))))+IF(B18="",0,'⚙️ Rate Card'!C33+(D18/100)*'⚙️ Rate Card'!C34)))*'⚙️ Rate Card'!C36*0.2+(((D18/100)*'⚙️ Rate Card'!C7+F18*'⚙️ Rate Card'!C9+G18*'⚙️ Rate Card'!C10+H18*'⚙️ Rate Card'!C11+I18*'⚙️ Rate Card'!C12+J18*'⚙️ Rate Card'!C13+K18*'⚙️ Rate Card'!C14+(D18/100)*'⚙️ Rate Card'!C8+L18*IF(OR(O18="N/A",O18="None",O18=""),0,IF(O18="High",'⚙️ Rate Card'!C20,IF(O18="Medium",'⚙️ Rate Card'!C19,'⚙️ Rate Card'!C18)))+M18*IF(OR(P18="Decommission",P18=""),'⚙️ Rate Card'!C29,IF(P18="EC2 (Lift &amp; Shift)",'⚙️ Rate Card'!C25,IF(P18="AWS QuickSight",'⚙️ Rate Card'!C27,IF(P18="Power BI",'⚙️ Rate Card'!C28,IF(P18="Custom Reporting Solution",'⚙️ Rate Card'!C26,0)))))+IF(B18="",0,'⚙️ Rate Card'!C33+(D18/100)*'⚙️ Rate Card'!C34)))*'⚙️ Rate Card'!C37*0.2)</f>
        <v>0</v>
      </c>
      <c r="AP18" s="37" t="n">
        <f aca="false">'✏️ SME Input'!B19</f>
        <v>0</v>
      </c>
      <c r="AQ18" s="37" t="n">
        <f aca="false">'✏️ SME Input'!C19</f>
        <v>0</v>
      </c>
      <c r="AR18" s="37" t="n">
        <f aca="false">'✏️ SME Input'!D19</f>
        <v>0</v>
      </c>
    </row>
    <row r="19" customFormat="false" ht="18" hidden="false" customHeight="true" outlineLevel="0" collapsed="false">
      <c r="B19" s="40" t="n">
        <f aca="false">'✏️ SME Input'!E20</f>
        <v>0</v>
      </c>
      <c r="C19" s="31" t="str">
        <f aca="false">IF(B19="","",IF(D19&gt;1000,"T3 Complex",IF(D19&gt;500,"T2 Moderate","T1 Simple")))</f>
        <v/>
      </c>
      <c r="D19" s="32" t="n">
        <f aca="false">'✏️ SME Input'!G20</f>
        <v>0</v>
      </c>
      <c r="E19" s="32" t="n">
        <f aca="false">'✏️ SME Input'!H20</f>
        <v>0</v>
      </c>
      <c r="F19" s="32" t="n">
        <f aca="false">'✏️ SME Input'!I20</f>
        <v>0</v>
      </c>
      <c r="G19" s="32" t="n">
        <f aca="false">'✏️ SME Input'!J20</f>
        <v>0</v>
      </c>
      <c r="H19" s="32" t="n">
        <f aca="false">'✏️ SME Input'!K20</f>
        <v>0</v>
      </c>
      <c r="I19" s="32" t="n">
        <f aca="false">'✏️ SME Input'!L20</f>
        <v>0</v>
      </c>
      <c r="J19" s="32" t="n">
        <f aca="false">'✏️ SME Input'!M20</f>
        <v>0</v>
      </c>
      <c r="K19" s="32" t="n">
        <f aca="false">'✏️ SME Input'!N20</f>
        <v>0</v>
      </c>
      <c r="L19" s="32" t="n">
        <f aca="false">'✏️ SME Input'!O20</f>
        <v>0</v>
      </c>
      <c r="M19" s="32" t="n">
        <f aca="false">'✏️ SME Input'!P20</f>
        <v>0</v>
      </c>
      <c r="N19" s="17" t="n">
        <f aca="false">'✏️ SME Input'!Q20</f>
        <v>0</v>
      </c>
      <c r="O19" s="33" t="n">
        <f aca="false">'✏️ SME Input'!R20</f>
        <v>0</v>
      </c>
      <c r="P19" s="33" t="n">
        <f aca="false">'✏️ SME Input'!S20</f>
        <v>0</v>
      </c>
      <c r="Q19" s="32" t="n">
        <f aca="false">'✏️ SME Input'!F20</f>
        <v>0</v>
      </c>
      <c r="R19" s="34" t="n">
        <f aca="false">IF(B19="",0,((D19/100)*'⚙️ Rate Card'!C7+F19*'⚙️ Rate Card'!C9+G19*'⚙️ Rate Card'!C10+H19*'⚙️ Rate Card'!C11+I19*'⚙️ Rate Card'!C12+J19*'⚙️ Rate Card'!C13+K19*'⚙️ Rate Card'!C14+(D19/100)*'⚙️ Rate Card'!C8+L19*IF(OR(O19="N/A",O19="None",O19=""),0,IF(O19="High",'⚙️ Rate Card'!C20,IF(O19="Medium",'⚙️ Rate Card'!C19,'⚙️ Rate Card'!C18)))+M19*IF(OR(P19="Decommission",P19=""),'⚙️ Rate Card'!C29,IF(P19="EC2 (Lift &amp; Shift)",'⚙️ Rate Card'!C25,IF(P19="AWS QuickSight",'⚙️ Rate Card'!C27,IF(P19="Power BI",'⚙️ Rate Card'!C28,IF(P19="Custom Reporting Solution",'⚙️ Rate Card'!C26,0)))))+IF(B19="",0,'⚙️ Rate Card'!C33+(D19/100)*'⚙️ Rate Card'!C34))*'⚙️ Rate Card'!C37+(D19/100)*'⚙️ Rate Card'!C7+F19*'⚙️ Rate Card'!C9+G19*'⚙️ Rate Card'!C10+H19*'⚙️ Rate Card'!C11+I19*'⚙️ Rate Card'!C12+J19*'⚙️ Rate Card'!C13+K19*'⚙️ Rate Card'!C14+(D19/100)*'⚙️ Rate Card'!C8+(D19/100)*'⚙️ Rate Card'!C8+L19*IF(OR(O19="N/A",O19="None",O19=""),0,IF(O19="High",'⚙️ Rate Card'!C20,IF(O19="Medium",'⚙️ Rate Card'!C19,'⚙️ Rate Card'!C18)))+M19*IF(OR(P19="Decommission",P19=""),'⚙️ Rate Card'!C29,IF(P19="EC2 (Lift &amp; Shift)",'⚙️ Rate Card'!C25,IF(P19="AWS QuickSight",'⚙️ Rate Card'!C27,IF(P19="Power BI",'⚙️ Rate Card'!C28,IF(P19="Custom Reporting Solution",'⚙️ Rate Card'!C26,0)))))+IF(B19="",0,'⚙️ Rate Card'!C33+(D19/100)*'⚙️ Rate Card'!C34)+((D19/100)*'⚙️ Rate Card'!C7+F19*'⚙️ Rate Card'!C9+G19*'⚙️ Rate Card'!C10+H19*'⚙️ Rate Card'!C11+I19*'⚙️ Rate Card'!C12+J19*'⚙️ Rate Card'!C13+K19*'⚙️ Rate Card'!C14+(D19/100)*'⚙️ Rate Card'!C8+L19*IF(OR(O19="N/A",O19="None",O19=""),0,IF(O19="High",'⚙️ Rate Card'!C20,IF(O19="Medium",'⚙️ Rate Card'!C19,'⚙️ Rate Card'!C18)))+M19*IF(OR(P19="Decommission",P19=""),'⚙️ Rate Card'!C29,IF(P19="EC2 (Lift &amp; Shift)",'⚙️ Rate Card'!C25,IF(P19="AWS QuickSight",'⚙️ Rate Card'!C27,IF(P19="Power BI",'⚙️ Rate Card'!C28,IF(P19="Custom Reporting Solution",'⚙️ Rate Card'!C26,0)))))+IF(B19="",0,'⚙️ Rate Card'!C33+(D19/100)*'⚙️ Rate Card'!C34))*'⚙️ Rate Card'!C35+((D19/100)*'⚙️ Rate Card'!C7+F19*'⚙️ Rate Card'!C9+G19*'⚙️ Rate Card'!C10+H19*'⚙️ Rate Card'!C11+I19*'⚙️ Rate Card'!C12+J19*'⚙️ Rate Card'!C13+K19*'⚙️ Rate Card'!C14+(D19/100)*'⚙️ Rate Card'!C8+L19*IF(OR(O19="N/A",O19="None",O19=""),0,IF(O19="High",'⚙️ Rate Card'!C20,IF(O19="Medium",'⚙️ Rate Card'!C19,'⚙️ Rate Card'!C18)))+M19*IF(OR(P19="Decommission",P19=""),'⚙️ Rate Card'!C29,IF(P19="EC2 (Lift &amp; Shift)",'⚙️ Rate Card'!C25,IF(P19="AWS QuickSight",'⚙️ Rate Card'!C27,IF(P19="Power BI",'⚙️ Rate Card'!C28,IF(P19="Custom Reporting Solution",'⚙️ Rate Card'!C26,0)))))+IF(B19="",0,'⚙️ Rate Card'!C33+(D19/100)*'⚙️ Rate Card'!C34))*'⚙️ Rate Card'!C36)</f>
        <v>0</v>
      </c>
      <c r="S19" s="34" t="n">
        <f aca="false">IF(B19="",0,(((D19/100)*'⚙️ Rate Card'!C7+F19*'⚙️ Rate Card'!C9+G19*'⚙️ Rate Card'!C10+H19*'⚙️ Rate Card'!C11+I19*'⚙️ Rate Card'!C12+J19*'⚙️ Rate Card'!C13+K19*'⚙️ Rate Card'!C14+(D19/100)*'⚙️ Rate Card'!C8+L19*IF(OR(O19="N/A",O19="None",O19=""),0,IF(O19="High",'⚙️ Rate Card'!C20,IF(O19="Medium",'⚙️ Rate Card'!C19,'⚙️ Rate Card'!C18)))+M19*IF(OR(P19="Decommission",P19=""),'⚙️ Rate Card'!C29,IF(P19="EC2 (Lift &amp; Shift)",'⚙️ Rate Card'!C25,IF(P19="AWS QuickSight",'⚙️ Rate Card'!C27,IF(P19="Power BI",'⚙️ Rate Card'!C28,IF(P19="Custom Reporting Solution",'⚙️ Rate Card'!C26,0)))))+IF(B19="",0,'⚙️ Rate Card'!C33+(D19/100)*'⚙️ Rate Card'!C34))*'⚙️ Rate Card'!C37)*(1-'📊 Dashboard'!C10/100)+(((D19/100)*'⚙️ Rate Card'!C7+F19*'⚙️ Rate Card'!C9+G19*'⚙️ Rate Card'!C10+H19*'⚙️ Rate Card'!C11+I19*'⚙️ Rate Card'!C12+J19*'⚙️ Rate Card'!C13+K19*'⚙️ Rate Card'!C14+(D19/100)*'⚙️ Rate Card'!C8+(D19/100)*'⚙️ Rate Card'!C8))*(1-'📊 Dashboard'!C10/100)+(L19*IF(OR(O19="N/A",O19="None",O19=""),0,IF(O19="High",'⚙️ Rate Card'!C20,IF(O19="Medium",'⚙️ Rate Card'!C19,'⚙️ Rate Card'!C18))))*(1-'📊 Dashboard'!C11/100)+(M19*IF(OR(P19="Decommission",P19=""),'⚙️ Rate Card'!C29,IF(P19="EC2 (Lift &amp; Shift)",'⚙️ Rate Card'!C25,IF(P19="AWS QuickSight",'⚙️ Rate Card'!C27,IF(P19="Power BI",'⚙️ Rate Card'!C28,IF(P19="Custom Reporting Solution",'⚙️ Rate Card'!C26,0))))))*(1-'📊 Dashboard'!C12/100)+(IF(B19="",0,'⚙️ Rate Card'!C33+(D19/100)*'⚙️ Rate Card'!C34))*(1-'📊 Dashboard'!C10/100)+(((D19/100)*'⚙️ Rate Card'!C7+F19*'⚙️ Rate Card'!C9+G19*'⚙️ Rate Card'!C10+H19*'⚙️ Rate Card'!C11+I19*'⚙️ Rate Card'!C12+J19*'⚙️ Rate Card'!C13+K19*'⚙️ Rate Card'!C14+(D19/100)*'⚙️ Rate Card'!C8+L19*IF(OR(O19="N/A",O19="None",O19=""),0,IF(O19="High",'⚙️ Rate Card'!C20,IF(O19="Medium",'⚙️ Rate Card'!C19,'⚙️ Rate Card'!C18)))+M19*IF(OR(P19="Decommission",P19=""),'⚙️ Rate Card'!C29,IF(P19="EC2 (Lift &amp; Shift)",'⚙️ Rate Card'!C25,IF(P19="AWS QuickSight",'⚙️ Rate Card'!C27,IF(P19="Power BI",'⚙️ Rate Card'!C28,IF(P19="Custom Reporting Solution",'⚙️ Rate Card'!C26,0)))))+IF(B19="",0,'⚙️ Rate Card'!C33+(D19/100)*'⚙️ Rate Card'!C34))*'⚙️ Rate Card'!C35)*(1-'📊 Dashboard'!C13/100)+(((D19/100)*'⚙️ Rate Card'!C7+F19*'⚙️ Rate Card'!C9+G19*'⚙️ Rate Card'!C10+H19*'⚙️ Rate Card'!C11+I19*'⚙️ Rate Card'!C12+J19*'⚙️ Rate Card'!C13+K19*'⚙️ Rate Card'!C14+(D19/100)*'⚙️ Rate Card'!C8+L19*IF(OR(O19="N/A",O19="None",O19=""),0,IF(O19="High",'⚙️ Rate Card'!C20,IF(O19="Medium",'⚙️ Rate Card'!C19,'⚙️ Rate Card'!C18)))+M19*IF(OR(P19="Decommission",P19=""),'⚙️ Rate Card'!C29,IF(P19="EC2 (Lift &amp; Shift)",'⚙️ Rate Card'!C25,IF(P19="AWS QuickSight",'⚙️ Rate Card'!C27,IF(P19="Power BI",'⚙️ Rate Card'!C28,IF(P19="Custom Reporting Solution",'⚙️ Rate Card'!C26,0)))))+IF(B19="",0,'⚙️ Rate Card'!C33+(D19/100)*'⚙️ Rate Card'!C34))*'⚙️ Rate Card'!C36)*(1-'📊 Dashboard'!C10/100))</f>
        <v>0</v>
      </c>
      <c r="T19" s="35" t="n">
        <f aca="false">IF(B19="",0,S19*(1+'📊 Dashboard'!C14/100))</f>
        <v>0</v>
      </c>
      <c r="U19" s="41" t="n">
        <f aca="false">IF(B19="",0,((D19/100)*'⚙️ Rate Card'!C7+F19*'⚙️ Rate Card'!C9+G19*'⚙️ Rate Card'!C10+H19*'⚙️ Rate Card'!C11+I19*'⚙️ Rate Card'!C12+J19*'⚙️ Rate Card'!C13+K19*'⚙️ Rate Card'!C14+(D19/100)*'⚙️ Rate Card'!C8+L19*IF(OR(O19="N/A",O19="None",O19=""),0,IF(O19="High",'⚙️ Rate Card'!C20,IF(O19="Medium",'⚙️ Rate Card'!C19,'⚙️ Rate Card'!C18)))+M19*IF(OR(P19="Decommission",P19=""),'⚙️ Rate Card'!C29,IF(P19="EC2 (Lift &amp; Shift)",'⚙️ Rate Card'!C25,IF(P19="AWS QuickSight",'⚙️ Rate Card'!C27,IF(P19="Power BI",'⚙️ Rate Card'!C28,IF(P19="Custom Reporting Solution",'⚙️ Rate Card'!C26,0)))))+IF(B19="",0,'⚙️ Rate Card'!C33+(D19/100)*'⚙️ Rate Card'!C34))*'⚙️ Rate Card'!C37)</f>
        <v>0</v>
      </c>
      <c r="V19" s="41" t="n">
        <f aca="false">IF(B19="",0,(D19/100)*'⚙️ Rate Card'!C7+F19*'⚙️ Rate Card'!C9+G19*'⚙️ Rate Card'!C10+H19*'⚙️ Rate Card'!C11+I19*'⚙️ Rate Card'!C12+J19*'⚙️ Rate Card'!C13+K19*'⚙️ Rate Card'!C14+(D19/100)*'⚙️ Rate Card'!C8+(D19/100)*'⚙️ Rate Card'!C8)</f>
        <v>0</v>
      </c>
      <c r="W19" s="41" t="n">
        <f aca="false">IF(B19="",0,L19*IF(OR(O19="N/A",O19="None",O19=""),0,IF(O19="High",'⚙️ Rate Card'!C20,IF(O19="Medium",'⚙️ Rate Card'!C19,'⚙️ Rate Card'!C18))))</f>
        <v>0</v>
      </c>
      <c r="X19" s="41" t="n">
        <f aca="false">IF(B19="",0,M19*IF(OR(P19="Decommission",P19=""),'⚙️ Rate Card'!C29,IF(P19="EC2 (Lift &amp; Shift)",'⚙️ Rate Card'!C25,IF(P19="AWS QuickSight",'⚙️ Rate Card'!C27,IF(P19="Power BI",'⚙️ Rate Card'!C28,IF(P19="Custom Reporting Solution",'⚙️ Rate Card'!C26,0))))))</f>
        <v>0</v>
      </c>
      <c r="Y19" s="41" t="n">
        <f aca="false">IF(B19="",0,IF(B19="",0,'⚙️ Rate Card'!C33+(D19/100)*'⚙️ Rate Card'!C34))</f>
        <v>0</v>
      </c>
      <c r="Z19" s="41" t="n">
        <f aca="false">IF(B19="",0,((D19/100)*'⚙️ Rate Card'!C7+F19*'⚙️ Rate Card'!C9+G19*'⚙️ Rate Card'!C10+H19*'⚙️ Rate Card'!C11+I19*'⚙️ Rate Card'!C12+J19*'⚙️ Rate Card'!C13+K19*'⚙️ Rate Card'!C14+(D19/100)*'⚙️ Rate Card'!C8+L19*IF(OR(O19="N/A",O19="None",O19=""),0,IF(O19="High",'⚙️ Rate Card'!C20,IF(O19="Medium",'⚙️ Rate Card'!C19,'⚙️ Rate Card'!C18)))+M19*IF(OR(P19="Decommission",P19=""),'⚙️ Rate Card'!C29,IF(P19="EC2 (Lift &amp; Shift)",'⚙️ Rate Card'!C25,IF(P19="AWS QuickSight",'⚙️ Rate Card'!C27,IF(P19="Power BI",'⚙️ Rate Card'!C28,IF(P19="Custom Reporting Solution",'⚙️ Rate Card'!C26,0)))))+IF(B19="",0,'⚙️ Rate Card'!C33+(D19/100)*'⚙️ Rate Card'!C34))*'⚙️ Rate Card'!C35)</f>
        <v>0</v>
      </c>
      <c r="AA19" s="41" t="n">
        <f aca="false">IF(B19="",0,((D19/100)*'⚙️ Rate Card'!C7+F19*'⚙️ Rate Card'!C9+G19*'⚙️ Rate Card'!C10+H19*'⚙️ Rate Card'!C11+I19*'⚙️ Rate Card'!C12+J19*'⚙️ Rate Card'!C13+K19*'⚙️ Rate Card'!C14+(D19/100)*'⚙️ Rate Card'!C8+L19*IF(OR(O19="N/A",O19="None",O19=""),0,IF(O19="High",'⚙️ Rate Card'!C20,IF(O19="Medium",'⚙️ Rate Card'!C19,'⚙️ Rate Card'!C18)))+M19*IF(OR(P19="Decommission",P19=""),'⚙️ Rate Card'!C29,IF(P19="EC2 (Lift &amp; Shift)",'⚙️ Rate Card'!C25,IF(P19="AWS QuickSight",'⚙️ Rate Card'!C27,IF(P19="Power BI",'⚙️ Rate Card'!C28,IF(P19="Custom Reporting Solution",'⚙️ Rate Card'!C26,0)))))+IF(B19="",0,'⚙️ Rate Card'!C33+(D19/100)*'⚙️ Rate Card'!C34))*'⚙️ Rate Card'!C36)</f>
        <v>0</v>
      </c>
      <c r="AB19" s="37" t="n">
        <f aca="false">'✏️ SME Input'!T20</f>
        <v>0</v>
      </c>
      <c r="AC19" s="41" t="n">
        <f aca="false">IF(B19="",0,AB19*0.75)</f>
        <v>0</v>
      </c>
      <c r="AD19" s="41" t="n">
        <f aca="false">IF(B19="",0,AB19*0.75)</f>
        <v>0</v>
      </c>
      <c r="AE19" s="41" t="n">
        <f aca="false">IF(B19="",0,AB19*0.75)</f>
        <v>0</v>
      </c>
      <c r="AF19" s="41" t="n">
        <f aca="false">IF(B19="",0,AB19*2.25)</f>
        <v>0</v>
      </c>
      <c r="AG19" s="41" t="n">
        <f aca="false">IF(B19="",0,((D19/100)*'⚙️ Rate Card'!C7+F19*'⚙️ Rate Card'!C9+G19*'⚙️ Rate Card'!C10+H19*'⚙️ Rate Card'!C11+I19*'⚙️ Rate Card'!C12+J19*'⚙️ Rate Card'!C13+K19*'⚙️ Rate Card'!C14+(D19/100)*'⚙️ Rate Card'!C8)*0.4)</f>
        <v>0</v>
      </c>
      <c r="AH19" s="41" t="n">
        <f aca="false">IF(B19="",0,((D19/100)*'⚙️ Rate Card'!C7+F19*'⚙️ Rate Card'!C9+G19*'⚙️ Rate Card'!C10+H19*'⚙️ Rate Card'!C11+I19*'⚙️ Rate Card'!C12+J19*'⚙️ Rate Card'!C13+K19*'⚙️ Rate Card'!C14+(D19/100)*'⚙️ Rate Card'!C8)*0.4)</f>
        <v>0</v>
      </c>
      <c r="AI19" s="41" t="n">
        <f aca="false">IF(B19="",0,((D19/100)*'⚙️ Rate Card'!C7+F19*'⚙️ Rate Card'!C9+G19*'⚙️ Rate Card'!C10+H19*'⚙️ Rate Card'!C11+I19*'⚙️ Rate Card'!C12+J19*'⚙️ Rate Card'!C13+K19*'⚙️ Rate Card'!C14+(D19/100)*'⚙️ Rate Card'!C8)*0.2)</f>
        <v>0</v>
      </c>
      <c r="AJ19" s="41" t="n">
        <f aca="false">IF(B19="",0,(L19*IF(OR(O19="N/A",O19="None",O19=""),0,IF(O19="High",'⚙️ Rate Card'!C20,IF(O19="Medium",'⚙️ Rate Card'!C19,'⚙️ Rate Card'!C18))))*0.5)</f>
        <v>0</v>
      </c>
      <c r="AK19" s="41" t="n">
        <f aca="false">IF(B19="",0,(L19*IF(OR(O19="N/A",O19="None",O19=""),0,IF(O19="High",'⚙️ Rate Card'!C20,IF(O19="Medium",'⚙️ Rate Card'!C19,'⚙️ Rate Card'!C18))))*0.35)</f>
        <v>0</v>
      </c>
      <c r="AL19" s="41" t="n">
        <f aca="false">IF(B19="",0,(L19*IF(OR(O19="N/A",O19="None",O19=""),0,IF(O19="High",'⚙️ Rate Card'!C20,IF(O19="Medium",'⚙️ Rate Card'!C19,'⚙️ Rate Card'!C18))))*0.15)</f>
        <v>0</v>
      </c>
      <c r="AM19" s="35" t="n">
        <f aca="false">IF(B19="",0,AG19+AJ19+(M19*IF(OR(P19="Decommission",P19=""),'⚙️ Rate Card'!C29,IF(P19="EC2 (Lift &amp; Shift)",'⚙️ Rate Card'!C25,IF(P19="AWS QuickSight",'⚙️ Rate Card'!C27,IF(P19="Power BI",'⚙️ Rate Card'!C28,IF(P19="Custom Reporting Solution",'⚙️ Rate Card'!C26,0))))))*0.4+(IF(B19="",0,'⚙️ Rate Card'!C33+(D19/100)*'⚙️ Rate Card'!C34))*0.4+AC19+(((D19/100)*'⚙️ Rate Card'!C7+F19*'⚙️ Rate Card'!C9+G19*'⚙️ Rate Card'!C10+H19*'⚙️ Rate Card'!C11+I19*'⚙️ Rate Card'!C12+J19*'⚙️ Rate Card'!C13+K19*'⚙️ Rate Card'!C14+(D19/100)*'⚙️ Rate Card'!C8+L19*IF(OR(O19="N/A",O19="None",O19=""),0,IF(O19="High",'⚙️ Rate Card'!C20,IF(O19="Medium",'⚙️ Rate Card'!C19,'⚙️ Rate Card'!C18)))+M19*IF(OR(P19="Decommission",P19=""),'⚙️ Rate Card'!C29,IF(P19="EC2 (Lift &amp; Shift)",'⚙️ Rate Card'!C25,IF(P19="AWS QuickSight",'⚙️ Rate Card'!C27,IF(P19="Power BI",'⚙️ Rate Card'!C28,IF(P19="Custom Reporting Solution",'⚙️ Rate Card'!C26,0)))))+IF(B19="",0,'⚙️ Rate Card'!C33+(D19/100)*'⚙️ Rate Card'!C34)))*'⚙️ Rate Card'!C35*0.4+(((D19/100)*'⚙️ Rate Card'!C7+F19*'⚙️ Rate Card'!C9+G19*'⚙️ Rate Card'!C10+H19*'⚙️ Rate Card'!C11+I19*'⚙️ Rate Card'!C12+J19*'⚙️ Rate Card'!C13+K19*'⚙️ Rate Card'!C14+(D19/100)*'⚙️ Rate Card'!C8+L19*IF(OR(O19="N/A",O19="None",O19=""),0,IF(O19="High",'⚙️ Rate Card'!C20,IF(O19="Medium",'⚙️ Rate Card'!C19,'⚙️ Rate Card'!C18)))+M19*IF(OR(P19="Decommission",P19=""),'⚙️ Rate Card'!C29,IF(P19="EC2 (Lift &amp; Shift)",'⚙️ Rate Card'!C25,IF(P19="AWS QuickSight",'⚙️ Rate Card'!C27,IF(P19="Power BI",'⚙️ Rate Card'!C28,IF(P19="Custom Reporting Solution",'⚙️ Rate Card'!C26,0)))))+IF(B19="",0,'⚙️ Rate Card'!C33+(D19/100)*'⚙️ Rate Card'!C34)))*'⚙️ Rate Card'!C36*0.4+(((D19/100)*'⚙️ Rate Card'!C7+F19*'⚙️ Rate Card'!C9+G19*'⚙️ Rate Card'!C10+H19*'⚙️ Rate Card'!C11+I19*'⚙️ Rate Card'!C12+J19*'⚙️ Rate Card'!C13+K19*'⚙️ Rate Card'!C14+(D19/100)*'⚙️ Rate Card'!C8+L19*IF(OR(O19="N/A",O19="None",O19=""),0,IF(O19="High",'⚙️ Rate Card'!C20,IF(O19="Medium",'⚙️ Rate Card'!C19,'⚙️ Rate Card'!C18)))+M19*IF(OR(P19="Decommission",P19=""),'⚙️ Rate Card'!C29,IF(P19="EC2 (Lift &amp; Shift)",'⚙️ Rate Card'!C25,IF(P19="AWS QuickSight",'⚙️ Rate Card'!C27,IF(P19="Power BI",'⚙️ Rate Card'!C28,IF(P19="Custom Reporting Solution",'⚙️ Rate Card'!C26,0)))))+IF(B19="",0,'⚙️ Rate Card'!C33+(D19/100)*'⚙️ Rate Card'!C34)))*'⚙️ Rate Card'!C37*0.4)</f>
        <v>0</v>
      </c>
      <c r="AN19" s="38" t="n">
        <f aca="false">IF(B19="",0,AH19+AK19+(M19*IF(OR(P19="Decommission",P19=""),'⚙️ Rate Card'!C29,IF(P19="EC2 (Lift &amp; Shift)",'⚙️ Rate Card'!C25,IF(P19="AWS QuickSight",'⚙️ Rate Card'!C27,IF(P19="Power BI",'⚙️ Rate Card'!C28,IF(P19="Custom Reporting Solution",'⚙️ Rate Card'!C26,0))))))*0.4+(IF(B19="",0,'⚙️ Rate Card'!C33+(D19/100)*'⚙️ Rate Card'!C34))*0.4+AD19+(((D19/100)*'⚙️ Rate Card'!C7+F19*'⚙️ Rate Card'!C9+G19*'⚙️ Rate Card'!C10+H19*'⚙️ Rate Card'!C11+I19*'⚙️ Rate Card'!C12+J19*'⚙️ Rate Card'!C13+K19*'⚙️ Rate Card'!C14+(D19/100)*'⚙️ Rate Card'!C8+L19*IF(OR(O19="N/A",O19="None",O19=""),0,IF(O19="High",'⚙️ Rate Card'!C20,IF(O19="Medium",'⚙️ Rate Card'!C19,'⚙️ Rate Card'!C18)))+M19*IF(OR(P19="Decommission",P19=""),'⚙️ Rate Card'!C29,IF(P19="EC2 (Lift &amp; Shift)",'⚙️ Rate Card'!C25,IF(P19="AWS QuickSight",'⚙️ Rate Card'!C27,IF(P19="Power BI",'⚙️ Rate Card'!C28,IF(P19="Custom Reporting Solution",'⚙️ Rate Card'!C26,0)))))+IF(B19="",0,'⚙️ Rate Card'!C33+(D19/100)*'⚙️ Rate Card'!C34)))*'⚙️ Rate Card'!C35*0.4+(((D19/100)*'⚙️ Rate Card'!C7+F19*'⚙️ Rate Card'!C9+G19*'⚙️ Rate Card'!C10+H19*'⚙️ Rate Card'!C11+I19*'⚙️ Rate Card'!C12+J19*'⚙️ Rate Card'!C13+K19*'⚙️ Rate Card'!C14+(D19/100)*'⚙️ Rate Card'!C8+L19*IF(OR(O19="N/A",O19="None",O19=""),0,IF(O19="High",'⚙️ Rate Card'!C20,IF(O19="Medium",'⚙️ Rate Card'!C19,'⚙️ Rate Card'!C18)))+M19*IF(OR(P19="Decommission",P19=""),'⚙️ Rate Card'!C29,IF(P19="EC2 (Lift &amp; Shift)",'⚙️ Rate Card'!C25,IF(P19="AWS QuickSight",'⚙️ Rate Card'!C27,IF(P19="Power BI",'⚙️ Rate Card'!C28,IF(P19="Custom Reporting Solution",'⚙️ Rate Card'!C26,0)))))+IF(B19="",0,'⚙️ Rate Card'!C33+(D19/100)*'⚙️ Rate Card'!C34)))*'⚙️ Rate Card'!C36*0.4+(((D19/100)*'⚙️ Rate Card'!C7+F19*'⚙️ Rate Card'!C9+G19*'⚙️ Rate Card'!C10+H19*'⚙️ Rate Card'!C11+I19*'⚙️ Rate Card'!C12+J19*'⚙️ Rate Card'!C13+K19*'⚙️ Rate Card'!C14+(D19/100)*'⚙️ Rate Card'!C8+L19*IF(OR(O19="N/A",O19="None",O19=""),0,IF(O19="High",'⚙️ Rate Card'!C20,IF(O19="Medium",'⚙️ Rate Card'!C19,'⚙️ Rate Card'!C18)))+M19*IF(OR(P19="Decommission",P19=""),'⚙️ Rate Card'!C29,IF(P19="EC2 (Lift &amp; Shift)",'⚙️ Rate Card'!C25,IF(P19="AWS QuickSight",'⚙️ Rate Card'!C27,IF(P19="Power BI",'⚙️ Rate Card'!C28,IF(P19="Custom Reporting Solution",'⚙️ Rate Card'!C26,0)))))+IF(B19="",0,'⚙️ Rate Card'!C33+(D19/100)*'⚙️ Rate Card'!C34)))*'⚙️ Rate Card'!C37*0.4)</f>
        <v>0</v>
      </c>
      <c r="AO19" s="39" t="n">
        <f aca="false">IF(B19="",0,AI19+AL19+(M19*IF(OR(P19="Decommission",P19=""),'⚙️ Rate Card'!C29,IF(P19="EC2 (Lift &amp; Shift)",'⚙️ Rate Card'!C25,IF(P19="AWS QuickSight",'⚙️ Rate Card'!C27,IF(P19="Power BI",'⚙️ Rate Card'!C28,IF(P19="Custom Reporting Solution",'⚙️ Rate Card'!C26,0))))))*0.2+(IF(B19="",0,'⚙️ Rate Card'!C33+(D19/100)*'⚙️ Rate Card'!C34))*0.2+AE19+(((D19/100)*'⚙️ Rate Card'!C7+F19*'⚙️ Rate Card'!C9+G19*'⚙️ Rate Card'!C10+H19*'⚙️ Rate Card'!C11+I19*'⚙️ Rate Card'!C12+J19*'⚙️ Rate Card'!C13+K19*'⚙️ Rate Card'!C14+(D19/100)*'⚙️ Rate Card'!C8+L19*IF(OR(O19="N/A",O19="None",O19=""),0,IF(O19="High",'⚙️ Rate Card'!C20,IF(O19="Medium",'⚙️ Rate Card'!C19,'⚙️ Rate Card'!C18)))+M19*IF(OR(P19="Decommission",P19=""),'⚙️ Rate Card'!C29,IF(P19="EC2 (Lift &amp; Shift)",'⚙️ Rate Card'!C25,IF(P19="AWS QuickSight",'⚙️ Rate Card'!C27,IF(P19="Power BI",'⚙️ Rate Card'!C28,IF(P19="Custom Reporting Solution",'⚙️ Rate Card'!C26,0)))))+IF(B19="",0,'⚙️ Rate Card'!C33+(D19/100)*'⚙️ Rate Card'!C34)))*'⚙️ Rate Card'!C35*0.2+(((D19/100)*'⚙️ Rate Card'!C7+F19*'⚙️ Rate Card'!C9+G19*'⚙️ Rate Card'!C10+H19*'⚙️ Rate Card'!C11+I19*'⚙️ Rate Card'!C12+J19*'⚙️ Rate Card'!C13+K19*'⚙️ Rate Card'!C14+(D19/100)*'⚙️ Rate Card'!C8+L19*IF(OR(O19="N/A",O19="None",O19=""),0,IF(O19="High",'⚙️ Rate Card'!C20,IF(O19="Medium",'⚙️ Rate Card'!C19,'⚙️ Rate Card'!C18)))+M19*IF(OR(P19="Decommission",P19=""),'⚙️ Rate Card'!C29,IF(P19="EC2 (Lift &amp; Shift)",'⚙️ Rate Card'!C25,IF(P19="AWS QuickSight",'⚙️ Rate Card'!C27,IF(P19="Power BI",'⚙️ Rate Card'!C28,IF(P19="Custom Reporting Solution",'⚙️ Rate Card'!C26,0)))))+IF(B19="",0,'⚙️ Rate Card'!C33+(D19/100)*'⚙️ Rate Card'!C34)))*'⚙️ Rate Card'!C36*0.2+(((D19/100)*'⚙️ Rate Card'!C7+F19*'⚙️ Rate Card'!C9+G19*'⚙️ Rate Card'!C10+H19*'⚙️ Rate Card'!C11+I19*'⚙️ Rate Card'!C12+J19*'⚙️ Rate Card'!C13+K19*'⚙️ Rate Card'!C14+(D19/100)*'⚙️ Rate Card'!C8+L19*IF(OR(O19="N/A",O19="None",O19=""),0,IF(O19="High",'⚙️ Rate Card'!C20,IF(O19="Medium",'⚙️ Rate Card'!C19,'⚙️ Rate Card'!C18)))+M19*IF(OR(P19="Decommission",P19=""),'⚙️ Rate Card'!C29,IF(P19="EC2 (Lift &amp; Shift)",'⚙️ Rate Card'!C25,IF(P19="AWS QuickSight",'⚙️ Rate Card'!C27,IF(P19="Power BI",'⚙️ Rate Card'!C28,IF(P19="Custom Reporting Solution",'⚙️ Rate Card'!C26,0)))))+IF(B19="",0,'⚙️ Rate Card'!C33+(D19/100)*'⚙️ Rate Card'!C34)))*'⚙️ Rate Card'!C37*0.2)</f>
        <v>0</v>
      </c>
      <c r="AP19" s="42" t="n">
        <f aca="false">'✏️ SME Input'!B20</f>
        <v>0</v>
      </c>
      <c r="AQ19" s="42" t="n">
        <f aca="false">'✏️ SME Input'!C20</f>
        <v>0</v>
      </c>
      <c r="AR19" s="42" t="n">
        <f aca="false">'✏️ SME Input'!D20</f>
        <v>0</v>
      </c>
    </row>
    <row r="20" customFormat="false" ht="18" hidden="false" customHeight="true" outlineLevel="0" collapsed="false">
      <c r="B20" s="30" t="n">
        <f aca="false">'✏️ SME Input'!E21</f>
        <v>0</v>
      </c>
      <c r="C20" s="31" t="str">
        <f aca="false">IF(B20="","",IF(D20&gt;1000,"T3 Complex",IF(D20&gt;500,"T2 Moderate","T1 Simple")))</f>
        <v/>
      </c>
      <c r="D20" s="32" t="n">
        <f aca="false">'✏️ SME Input'!G21</f>
        <v>0</v>
      </c>
      <c r="E20" s="32" t="n">
        <f aca="false">'✏️ SME Input'!H21</f>
        <v>0</v>
      </c>
      <c r="F20" s="32" t="n">
        <f aca="false">'✏️ SME Input'!I21</f>
        <v>0</v>
      </c>
      <c r="G20" s="32" t="n">
        <f aca="false">'✏️ SME Input'!J21</f>
        <v>0</v>
      </c>
      <c r="H20" s="32" t="n">
        <f aca="false">'✏️ SME Input'!K21</f>
        <v>0</v>
      </c>
      <c r="I20" s="32" t="n">
        <f aca="false">'✏️ SME Input'!L21</f>
        <v>0</v>
      </c>
      <c r="J20" s="32" t="n">
        <f aca="false">'✏️ SME Input'!M21</f>
        <v>0</v>
      </c>
      <c r="K20" s="32" t="n">
        <f aca="false">'✏️ SME Input'!N21</f>
        <v>0</v>
      </c>
      <c r="L20" s="32" t="n">
        <f aca="false">'✏️ SME Input'!O21</f>
        <v>0</v>
      </c>
      <c r="M20" s="32" t="n">
        <f aca="false">'✏️ SME Input'!P21</f>
        <v>0</v>
      </c>
      <c r="N20" s="17" t="n">
        <f aca="false">'✏️ SME Input'!Q21</f>
        <v>0</v>
      </c>
      <c r="O20" s="33" t="n">
        <f aca="false">'✏️ SME Input'!R21</f>
        <v>0</v>
      </c>
      <c r="P20" s="33" t="n">
        <f aca="false">'✏️ SME Input'!S21</f>
        <v>0</v>
      </c>
      <c r="Q20" s="32" t="n">
        <f aca="false">'✏️ SME Input'!F21</f>
        <v>0</v>
      </c>
      <c r="R20" s="34" t="n">
        <f aca="false">IF(B20="",0,((D20/100)*'⚙️ Rate Card'!C7+F20*'⚙️ Rate Card'!C9+G20*'⚙️ Rate Card'!C10+H20*'⚙️ Rate Card'!C11+I20*'⚙️ Rate Card'!C12+J20*'⚙️ Rate Card'!C13+K20*'⚙️ Rate Card'!C14+(D20/100)*'⚙️ Rate Card'!C8+L20*IF(OR(O20="N/A",O20="None",O20=""),0,IF(O20="High",'⚙️ Rate Card'!C20,IF(O20="Medium",'⚙️ Rate Card'!C19,'⚙️ Rate Card'!C18)))+M20*IF(OR(P20="Decommission",P20=""),'⚙️ Rate Card'!C29,IF(P20="EC2 (Lift &amp; Shift)",'⚙️ Rate Card'!C25,IF(P20="AWS QuickSight",'⚙️ Rate Card'!C27,IF(P20="Power BI",'⚙️ Rate Card'!C28,IF(P20="Custom Reporting Solution",'⚙️ Rate Card'!C26,0)))))+IF(B20="",0,'⚙️ Rate Card'!C33+(D20/100)*'⚙️ Rate Card'!C34))*'⚙️ Rate Card'!C37+(D20/100)*'⚙️ Rate Card'!C7+F20*'⚙️ Rate Card'!C9+G20*'⚙️ Rate Card'!C10+H20*'⚙️ Rate Card'!C11+I20*'⚙️ Rate Card'!C12+J20*'⚙️ Rate Card'!C13+K20*'⚙️ Rate Card'!C14+(D20/100)*'⚙️ Rate Card'!C8+(D20/100)*'⚙️ Rate Card'!C8+L20*IF(OR(O20="N/A",O20="None",O20=""),0,IF(O20="High",'⚙️ Rate Card'!C20,IF(O20="Medium",'⚙️ Rate Card'!C19,'⚙️ Rate Card'!C18)))+M20*IF(OR(P20="Decommission",P20=""),'⚙️ Rate Card'!C29,IF(P20="EC2 (Lift &amp; Shift)",'⚙️ Rate Card'!C25,IF(P20="AWS QuickSight",'⚙️ Rate Card'!C27,IF(P20="Power BI",'⚙️ Rate Card'!C28,IF(P20="Custom Reporting Solution",'⚙️ Rate Card'!C26,0)))))+IF(B20="",0,'⚙️ Rate Card'!C33+(D20/100)*'⚙️ Rate Card'!C34)+((D20/100)*'⚙️ Rate Card'!C7+F20*'⚙️ Rate Card'!C9+G20*'⚙️ Rate Card'!C10+H20*'⚙️ Rate Card'!C11+I20*'⚙️ Rate Card'!C12+J20*'⚙️ Rate Card'!C13+K20*'⚙️ Rate Card'!C14+(D20/100)*'⚙️ Rate Card'!C8+L20*IF(OR(O20="N/A",O20="None",O20=""),0,IF(O20="High",'⚙️ Rate Card'!C20,IF(O20="Medium",'⚙️ Rate Card'!C19,'⚙️ Rate Card'!C18)))+M20*IF(OR(P20="Decommission",P20=""),'⚙️ Rate Card'!C29,IF(P20="EC2 (Lift &amp; Shift)",'⚙️ Rate Card'!C25,IF(P20="AWS QuickSight",'⚙️ Rate Card'!C27,IF(P20="Power BI",'⚙️ Rate Card'!C28,IF(P20="Custom Reporting Solution",'⚙️ Rate Card'!C26,0)))))+IF(B20="",0,'⚙️ Rate Card'!C33+(D20/100)*'⚙️ Rate Card'!C34))*'⚙️ Rate Card'!C35+((D20/100)*'⚙️ Rate Card'!C7+F20*'⚙️ Rate Card'!C9+G20*'⚙️ Rate Card'!C10+H20*'⚙️ Rate Card'!C11+I20*'⚙️ Rate Card'!C12+J20*'⚙️ Rate Card'!C13+K20*'⚙️ Rate Card'!C14+(D20/100)*'⚙️ Rate Card'!C8+L20*IF(OR(O20="N/A",O20="None",O20=""),0,IF(O20="High",'⚙️ Rate Card'!C20,IF(O20="Medium",'⚙️ Rate Card'!C19,'⚙️ Rate Card'!C18)))+M20*IF(OR(P20="Decommission",P20=""),'⚙️ Rate Card'!C29,IF(P20="EC2 (Lift &amp; Shift)",'⚙️ Rate Card'!C25,IF(P20="AWS QuickSight",'⚙️ Rate Card'!C27,IF(P20="Power BI",'⚙️ Rate Card'!C28,IF(P20="Custom Reporting Solution",'⚙️ Rate Card'!C26,0)))))+IF(B20="",0,'⚙️ Rate Card'!C33+(D20/100)*'⚙️ Rate Card'!C34))*'⚙️ Rate Card'!C36)</f>
        <v>0</v>
      </c>
      <c r="S20" s="34" t="n">
        <f aca="false">IF(B20="",0,(((D20/100)*'⚙️ Rate Card'!C7+F20*'⚙️ Rate Card'!C9+G20*'⚙️ Rate Card'!C10+H20*'⚙️ Rate Card'!C11+I20*'⚙️ Rate Card'!C12+J20*'⚙️ Rate Card'!C13+K20*'⚙️ Rate Card'!C14+(D20/100)*'⚙️ Rate Card'!C8+L20*IF(OR(O20="N/A",O20="None",O20=""),0,IF(O20="High",'⚙️ Rate Card'!C20,IF(O20="Medium",'⚙️ Rate Card'!C19,'⚙️ Rate Card'!C18)))+M20*IF(OR(P20="Decommission",P20=""),'⚙️ Rate Card'!C29,IF(P20="EC2 (Lift &amp; Shift)",'⚙️ Rate Card'!C25,IF(P20="AWS QuickSight",'⚙️ Rate Card'!C27,IF(P20="Power BI",'⚙️ Rate Card'!C28,IF(P20="Custom Reporting Solution",'⚙️ Rate Card'!C26,0)))))+IF(B20="",0,'⚙️ Rate Card'!C33+(D20/100)*'⚙️ Rate Card'!C34))*'⚙️ Rate Card'!C37)*(1-'📊 Dashboard'!C10/100)+(((D20/100)*'⚙️ Rate Card'!C7+F20*'⚙️ Rate Card'!C9+G20*'⚙️ Rate Card'!C10+H20*'⚙️ Rate Card'!C11+I20*'⚙️ Rate Card'!C12+J20*'⚙️ Rate Card'!C13+K20*'⚙️ Rate Card'!C14+(D20/100)*'⚙️ Rate Card'!C8+(D20/100)*'⚙️ Rate Card'!C8))*(1-'📊 Dashboard'!C10/100)+(L20*IF(OR(O20="N/A",O20="None",O20=""),0,IF(O20="High",'⚙️ Rate Card'!C20,IF(O20="Medium",'⚙️ Rate Card'!C19,'⚙️ Rate Card'!C18))))*(1-'📊 Dashboard'!C11/100)+(M20*IF(OR(P20="Decommission",P20=""),'⚙️ Rate Card'!C29,IF(P20="EC2 (Lift &amp; Shift)",'⚙️ Rate Card'!C25,IF(P20="AWS QuickSight",'⚙️ Rate Card'!C27,IF(P20="Power BI",'⚙️ Rate Card'!C28,IF(P20="Custom Reporting Solution",'⚙️ Rate Card'!C26,0))))))*(1-'📊 Dashboard'!C12/100)+(IF(B20="",0,'⚙️ Rate Card'!C33+(D20/100)*'⚙️ Rate Card'!C34))*(1-'📊 Dashboard'!C10/100)+(((D20/100)*'⚙️ Rate Card'!C7+F20*'⚙️ Rate Card'!C9+G20*'⚙️ Rate Card'!C10+H20*'⚙️ Rate Card'!C11+I20*'⚙️ Rate Card'!C12+J20*'⚙️ Rate Card'!C13+K20*'⚙️ Rate Card'!C14+(D20/100)*'⚙️ Rate Card'!C8+L20*IF(OR(O20="N/A",O20="None",O20=""),0,IF(O20="High",'⚙️ Rate Card'!C20,IF(O20="Medium",'⚙️ Rate Card'!C19,'⚙️ Rate Card'!C18)))+M20*IF(OR(P20="Decommission",P20=""),'⚙️ Rate Card'!C29,IF(P20="EC2 (Lift &amp; Shift)",'⚙️ Rate Card'!C25,IF(P20="AWS QuickSight",'⚙️ Rate Card'!C27,IF(P20="Power BI",'⚙️ Rate Card'!C28,IF(P20="Custom Reporting Solution",'⚙️ Rate Card'!C26,0)))))+IF(B20="",0,'⚙️ Rate Card'!C33+(D20/100)*'⚙️ Rate Card'!C34))*'⚙️ Rate Card'!C35)*(1-'📊 Dashboard'!C13/100)+(((D20/100)*'⚙️ Rate Card'!C7+F20*'⚙️ Rate Card'!C9+G20*'⚙️ Rate Card'!C10+H20*'⚙️ Rate Card'!C11+I20*'⚙️ Rate Card'!C12+J20*'⚙️ Rate Card'!C13+K20*'⚙️ Rate Card'!C14+(D20/100)*'⚙️ Rate Card'!C8+L20*IF(OR(O20="N/A",O20="None",O20=""),0,IF(O20="High",'⚙️ Rate Card'!C20,IF(O20="Medium",'⚙️ Rate Card'!C19,'⚙️ Rate Card'!C18)))+M20*IF(OR(P20="Decommission",P20=""),'⚙️ Rate Card'!C29,IF(P20="EC2 (Lift &amp; Shift)",'⚙️ Rate Card'!C25,IF(P20="AWS QuickSight",'⚙️ Rate Card'!C27,IF(P20="Power BI",'⚙️ Rate Card'!C28,IF(P20="Custom Reporting Solution",'⚙️ Rate Card'!C26,0)))))+IF(B20="",0,'⚙️ Rate Card'!C33+(D20/100)*'⚙️ Rate Card'!C34))*'⚙️ Rate Card'!C36)*(1-'📊 Dashboard'!C10/100))</f>
        <v>0</v>
      </c>
      <c r="T20" s="35" t="n">
        <f aca="false">IF(B20="",0,S20*(1+'📊 Dashboard'!C14/100))</f>
        <v>0</v>
      </c>
      <c r="U20" s="36" t="n">
        <f aca="false">IF(B20="",0,((D20/100)*'⚙️ Rate Card'!C7+F20*'⚙️ Rate Card'!C9+G20*'⚙️ Rate Card'!C10+H20*'⚙️ Rate Card'!C11+I20*'⚙️ Rate Card'!C12+J20*'⚙️ Rate Card'!C13+K20*'⚙️ Rate Card'!C14+(D20/100)*'⚙️ Rate Card'!C8+L20*IF(OR(O20="N/A",O20="None",O20=""),0,IF(O20="High",'⚙️ Rate Card'!C20,IF(O20="Medium",'⚙️ Rate Card'!C19,'⚙️ Rate Card'!C18)))+M20*IF(OR(P20="Decommission",P20=""),'⚙️ Rate Card'!C29,IF(P20="EC2 (Lift &amp; Shift)",'⚙️ Rate Card'!C25,IF(P20="AWS QuickSight",'⚙️ Rate Card'!C27,IF(P20="Power BI",'⚙️ Rate Card'!C28,IF(P20="Custom Reporting Solution",'⚙️ Rate Card'!C26,0)))))+IF(B20="",0,'⚙️ Rate Card'!C33+(D20/100)*'⚙️ Rate Card'!C34))*'⚙️ Rate Card'!C37)</f>
        <v>0</v>
      </c>
      <c r="V20" s="36" t="n">
        <f aca="false">IF(B20="",0,(D20/100)*'⚙️ Rate Card'!C7+F20*'⚙️ Rate Card'!C9+G20*'⚙️ Rate Card'!C10+H20*'⚙️ Rate Card'!C11+I20*'⚙️ Rate Card'!C12+J20*'⚙️ Rate Card'!C13+K20*'⚙️ Rate Card'!C14+(D20/100)*'⚙️ Rate Card'!C8+(D20/100)*'⚙️ Rate Card'!C8)</f>
        <v>0</v>
      </c>
      <c r="W20" s="36" t="n">
        <f aca="false">IF(B20="",0,L20*IF(OR(O20="N/A",O20="None",O20=""),0,IF(O20="High",'⚙️ Rate Card'!C20,IF(O20="Medium",'⚙️ Rate Card'!C19,'⚙️ Rate Card'!C18))))</f>
        <v>0</v>
      </c>
      <c r="X20" s="36" t="n">
        <f aca="false">IF(B20="",0,M20*IF(OR(P20="Decommission",P20=""),'⚙️ Rate Card'!C29,IF(P20="EC2 (Lift &amp; Shift)",'⚙️ Rate Card'!C25,IF(P20="AWS QuickSight",'⚙️ Rate Card'!C27,IF(P20="Power BI",'⚙️ Rate Card'!C28,IF(P20="Custom Reporting Solution",'⚙️ Rate Card'!C26,0))))))</f>
        <v>0</v>
      </c>
      <c r="Y20" s="36" t="n">
        <f aca="false">IF(B20="",0,IF(B20="",0,'⚙️ Rate Card'!C33+(D20/100)*'⚙️ Rate Card'!C34))</f>
        <v>0</v>
      </c>
      <c r="Z20" s="36" t="n">
        <f aca="false">IF(B20="",0,((D20/100)*'⚙️ Rate Card'!C7+F20*'⚙️ Rate Card'!C9+G20*'⚙️ Rate Card'!C10+H20*'⚙️ Rate Card'!C11+I20*'⚙️ Rate Card'!C12+J20*'⚙️ Rate Card'!C13+K20*'⚙️ Rate Card'!C14+(D20/100)*'⚙️ Rate Card'!C8+L20*IF(OR(O20="N/A",O20="None",O20=""),0,IF(O20="High",'⚙️ Rate Card'!C20,IF(O20="Medium",'⚙️ Rate Card'!C19,'⚙️ Rate Card'!C18)))+M20*IF(OR(P20="Decommission",P20=""),'⚙️ Rate Card'!C29,IF(P20="EC2 (Lift &amp; Shift)",'⚙️ Rate Card'!C25,IF(P20="AWS QuickSight",'⚙️ Rate Card'!C27,IF(P20="Power BI",'⚙️ Rate Card'!C28,IF(P20="Custom Reporting Solution",'⚙️ Rate Card'!C26,0)))))+IF(B20="",0,'⚙️ Rate Card'!C33+(D20/100)*'⚙️ Rate Card'!C34))*'⚙️ Rate Card'!C35)</f>
        <v>0</v>
      </c>
      <c r="AA20" s="36" t="n">
        <f aca="false">IF(B20="",0,((D20/100)*'⚙️ Rate Card'!C7+F20*'⚙️ Rate Card'!C9+G20*'⚙️ Rate Card'!C10+H20*'⚙️ Rate Card'!C11+I20*'⚙️ Rate Card'!C12+J20*'⚙️ Rate Card'!C13+K20*'⚙️ Rate Card'!C14+(D20/100)*'⚙️ Rate Card'!C8+L20*IF(OR(O20="N/A",O20="None",O20=""),0,IF(O20="High",'⚙️ Rate Card'!C20,IF(O20="Medium",'⚙️ Rate Card'!C19,'⚙️ Rate Card'!C18)))+M20*IF(OR(P20="Decommission",P20=""),'⚙️ Rate Card'!C29,IF(P20="EC2 (Lift &amp; Shift)",'⚙️ Rate Card'!C25,IF(P20="AWS QuickSight",'⚙️ Rate Card'!C27,IF(P20="Power BI",'⚙️ Rate Card'!C28,IF(P20="Custom Reporting Solution",'⚙️ Rate Card'!C26,0)))))+IF(B20="",0,'⚙️ Rate Card'!C33+(D20/100)*'⚙️ Rate Card'!C34))*'⚙️ Rate Card'!C36)</f>
        <v>0</v>
      </c>
      <c r="AB20" s="37" t="n">
        <f aca="false">'✏️ SME Input'!T21</f>
        <v>0</v>
      </c>
      <c r="AC20" s="36" t="n">
        <f aca="false">IF(B20="",0,AB20*0.75)</f>
        <v>0</v>
      </c>
      <c r="AD20" s="36" t="n">
        <f aca="false">IF(B20="",0,AB20*0.75)</f>
        <v>0</v>
      </c>
      <c r="AE20" s="36" t="n">
        <f aca="false">IF(B20="",0,AB20*0.75)</f>
        <v>0</v>
      </c>
      <c r="AF20" s="36" t="n">
        <f aca="false">IF(B20="",0,AB20*2.25)</f>
        <v>0</v>
      </c>
      <c r="AG20" s="36" t="n">
        <f aca="false">IF(B20="",0,((D20/100)*'⚙️ Rate Card'!C7+F20*'⚙️ Rate Card'!C9+G20*'⚙️ Rate Card'!C10+H20*'⚙️ Rate Card'!C11+I20*'⚙️ Rate Card'!C12+J20*'⚙️ Rate Card'!C13+K20*'⚙️ Rate Card'!C14+(D20/100)*'⚙️ Rate Card'!C8)*0.4)</f>
        <v>0</v>
      </c>
      <c r="AH20" s="36" t="n">
        <f aca="false">IF(B20="",0,((D20/100)*'⚙️ Rate Card'!C7+F20*'⚙️ Rate Card'!C9+G20*'⚙️ Rate Card'!C10+H20*'⚙️ Rate Card'!C11+I20*'⚙️ Rate Card'!C12+J20*'⚙️ Rate Card'!C13+K20*'⚙️ Rate Card'!C14+(D20/100)*'⚙️ Rate Card'!C8)*0.4)</f>
        <v>0</v>
      </c>
      <c r="AI20" s="36" t="n">
        <f aca="false">IF(B20="",0,((D20/100)*'⚙️ Rate Card'!C7+F20*'⚙️ Rate Card'!C9+G20*'⚙️ Rate Card'!C10+H20*'⚙️ Rate Card'!C11+I20*'⚙️ Rate Card'!C12+J20*'⚙️ Rate Card'!C13+K20*'⚙️ Rate Card'!C14+(D20/100)*'⚙️ Rate Card'!C8)*0.2)</f>
        <v>0</v>
      </c>
      <c r="AJ20" s="36" t="n">
        <f aca="false">IF(B20="",0,(L20*IF(OR(O20="N/A",O20="None",O20=""),0,IF(O20="High",'⚙️ Rate Card'!C20,IF(O20="Medium",'⚙️ Rate Card'!C19,'⚙️ Rate Card'!C18))))*0.5)</f>
        <v>0</v>
      </c>
      <c r="AK20" s="36" t="n">
        <f aca="false">IF(B20="",0,(L20*IF(OR(O20="N/A",O20="None",O20=""),0,IF(O20="High",'⚙️ Rate Card'!C20,IF(O20="Medium",'⚙️ Rate Card'!C19,'⚙️ Rate Card'!C18))))*0.35)</f>
        <v>0</v>
      </c>
      <c r="AL20" s="36" t="n">
        <f aca="false">IF(B20="",0,(L20*IF(OR(O20="N/A",O20="None",O20=""),0,IF(O20="High",'⚙️ Rate Card'!C20,IF(O20="Medium",'⚙️ Rate Card'!C19,'⚙️ Rate Card'!C18))))*0.15)</f>
        <v>0</v>
      </c>
      <c r="AM20" s="35" t="n">
        <f aca="false">IF(B20="",0,AG20+AJ20+(M20*IF(OR(P20="Decommission",P20=""),'⚙️ Rate Card'!C29,IF(P20="EC2 (Lift &amp; Shift)",'⚙️ Rate Card'!C25,IF(P20="AWS QuickSight",'⚙️ Rate Card'!C27,IF(P20="Power BI",'⚙️ Rate Card'!C28,IF(P20="Custom Reporting Solution",'⚙️ Rate Card'!C26,0))))))*0.4+(IF(B20="",0,'⚙️ Rate Card'!C33+(D20/100)*'⚙️ Rate Card'!C34))*0.4+AC20+(((D20/100)*'⚙️ Rate Card'!C7+F20*'⚙️ Rate Card'!C9+G20*'⚙️ Rate Card'!C10+H20*'⚙️ Rate Card'!C11+I20*'⚙️ Rate Card'!C12+J20*'⚙️ Rate Card'!C13+K20*'⚙️ Rate Card'!C14+(D20/100)*'⚙️ Rate Card'!C8+L20*IF(OR(O20="N/A",O20="None",O20=""),0,IF(O20="High",'⚙️ Rate Card'!C20,IF(O20="Medium",'⚙️ Rate Card'!C19,'⚙️ Rate Card'!C18)))+M20*IF(OR(P20="Decommission",P20=""),'⚙️ Rate Card'!C29,IF(P20="EC2 (Lift &amp; Shift)",'⚙️ Rate Card'!C25,IF(P20="AWS QuickSight",'⚙️ Rate Card'!C27,IF(P20="Power BI",'⚙️ Rate Card'!C28,IF(P20="Custom Reporting Solution",'⚙️ Rate Card'!C26,0)))))+IF(B20="",0,'⚙️ Rate Card'!C33+(D20/100)*'⚙️ Rate Card'!C34)))*'⚙️ Rate Card'!C35*0.4+(((D20/100)*'⚙️ Rate Card'!C7+F20*'⚙️ Rate Card'!C9+G20*'⚙️ Rate Card'!C10+H20*'⚙️ Rate Card'!C11+I20*'⚙️ Rate Card'!C12+J20*'⚙️ Rate Card'!C13+K20*'⚙️ Rate Card'!C14+(D20/100)*'⚙️ Rate Card'!C8+L20*IF(OR(O20="N/A",O20="None",O20=""),0,IF(O20="High",'⚙️ Rate Card'!C20,IF(O20="Medium",'⚙️ Rate Card'!C19,'⚙️ Rate Card'!C18)))+M20*IF(OR(P20="Decommission",P20=""),'⚙️ Rate Card'!C29,IF(P20="EC2 (Lift &amp; Shift)",'⚙️ Rate Card'!C25,IF(P20="AWS QuickSight",'⚙️ Rate Card'!C27,IF(P20="Power BI",'⚙️ Rate Card'!C28,IF(P20="Custom Reporting Solution",'⚙️ Rate Card'!C26,0)))))+IF(B20="",0,'⚙️ Rate Card'!C33+(D20/100)*'⚙️ Rate Card'!C34)))*'⚙️ Rate Card'!C36*0.4+(((D20/100)*'⚙️ Rate Card'!C7+F20*'⚙️ Rate Card'!C9+G20*'⚙️ Rate Card'!C10+H20*'⚙️ Rate Card'!C11+I20*'⚙️ Rate Card'!C12+J20*'⚙️ Rate Card'!C13+K20*'⚙️ Rate Card'!C14+(D20/100)*'⚙️ Rate Card'!C8+L20*IF(OR(O20="N/A",O20="None",O20=""),0,IF(O20="High",'⚙️ Rate Card'!C20,IF(O20="Medium",'⚙️ Rate Card'!C19,'⚙️ Rate Card'!C18)))+M20*IF(OR(P20="Decommission",P20=""),'⚙️ Rate Card'!C29,IF(P20="EC2 (Lift &amp; Shift)",'⚙️ Rate Card'!C25,IF(P20="AWS QuickSight",'⚙️ Rate Card'!C27,IF(P20="Power BI",'⚙️ Rate Card'!C28,IF(P20="Custom Reporting Solution",'⚙️ Rate Card'!C26,0)))))+IF(B20="",0,'⚙️ Rate Card'!C33+(D20/100)*'⚙️ Rate Card'!C34)))*'⚙️ Rate Card'!C37*0.4)</f>
        <v>0</v>
      </c>
      <c r="AN20" s="38" t="n">
        <f aca="false">IF(B20="",0,AH20+AK20+(M20*IF(OR(P20="Decommission",P20=""),'⚙️ Rate Card'!C29,IF(P20="EC2 (Lift &amp; Shift)",'⚙️ Rate Card'!C25,IF(P20="AWS QuickSight",'⚙️ Rate Card'!C27,IF(P20="Power BI",'⚙️ Rate Card'!C28,IF(P20="Custom Reporting Solution",'⚙️ Rate Card'!C26,0))))))*0.4+(IF(B20="",0,'⚙️ Rate Card'!C33+(D20/100)*'⚙️ Rate Card'!C34))*0.4+AD20+(((D20/100)*'⚙️ Rate Card'!C7+F20*'⚙️ Rate Card'!C9+G20*'⚙️ Rate Card'!C10+H20*'⚙️ Rate Card'!C11+I20*'⚙️ Rate Card'!C12+J20*'⚙️ Rate Card'!C13+K20*'⚙️ Rate Card'!C14+(D20/100)*'⚙️ Rate Card'!C8+L20*IF(OR(O20="N/A",O20="None",O20=""),0,IF(O20="High",'⚙️ Rate Card'!C20,IF(O20="Medium",'⚙️ Rate Card'!C19,'⚙️ Rate Card'!C18)))+M20*IF(OR(P20="Decommission",P20=""),'⚙️ Rate Card'!C29,IF(P20="EC2 (Lift &amp; Shift)",'⚙️ Rate Card'!C25,IF(P20="AWS QuickSight",'⚙️ Rate Card'!C27,IF(P20="Power BI",'⚙️ Rate Card'!C28,IF(P20="Custom Reporting Solution",'⚙️ Rate Card'!C26,0)))))+IF(B20="",0,'⚙️ Rate Card'!C33+(D20/100)*'⚙️ Rate Card'!C34)))*'⚙️ Rate Card'!C35*0.4+(((D20/100)*'⚙️ Rate Card'!C7+F20*'⚙️ Rate Card'!C9+G20*'⚙️ Rate Card'!C10+H20*'⚙️ Rate Card'!C11+I20*'⚙️ Rate Card'!C12+J20*'⚙️ Rate Card'!C13+K20*'⚙️ Rate Card'!C14+(D20/100)*'⚙️ Rate Card'!C8+L20*IF(OR(O20="N/A",O20="None",O20=""),0,IF(O20="High",'⚙️ Rate Card'!C20,IF(O20="Medium",'⚙️ Rate Card'!C19,'⚙️ Rate Card'!C18)))+M20*IF(OR(P20="Decommission",P20=""),'⚙️ Rate Card'!C29,IF(P20="EC2 (Lift &amp; Shift)",'⚙️ Rate Card'!C25,IF(P20="AWS QuickSight",'⚙️ Rate Card'!C27,IF(P20="Power BI",'⚙️ Rate Card'!C28,IF(P20="Custom Reporting Solution",'⚙️ Rate Card'!C26,0)))))+IF(B20="",0,'⚙️ Rate Card'!C33+(D20/100)*'⚙️ Rate Card'!C34)))*'⚙️ Rate Card'!C36*0.4+(((D20/100)*'⚙️ Rate Card'!C7+F20*'⚙️ Rate Card'!C9+G20*'⚙️ Rate Card'!C10+H20*'⚙️ Rate Card'!C11+I20*'⚙️ Rate Card'!C12+J20*'⚙️ Rate Card'!C13+K20*'⚙️ Rate Card'!C14+(D20/100)*'⚙️ Rate Card'!C8+L20*IF(OR(O20="N/A",O20="None",O20=""),0,IF(O20="High",'⚙️ Rate Card'!C20,IF(O20="Medium",'⚙️ Rate Card'!C19,'⚙️ Rate Card'!C18)))+M20*IF(OR(P20="Decommission",P20=""),'⚙️ Rate Card'!C29,IF(P20="EC2 (Lift &amp; Shift)",'⚙️ Rate Card'!C25,IF(P20="AWS QuickSight",'⚙️ Rate Card'!C27,IF(P20="Power BI",'⚙️ Rate Card'!C28,IF(P20="Custom Reporting Solution",'⚙️ Rate Card'!C26,0)))))+IF(B20="",0,'⚙️ Rate Card'!C33+(D20/100)*'⚙️ Rate Card'!C34)))*'⚙️ Rate Card'!C37*0.4)</f>
        <v>0</v>
      </c>
      <c r="AO20" s="39" t="n">
        <f aca="false">IF(B20="",0,AI20+AL20+(M20*IF(OR(P20="Decommission",P20=""),'⚙️ Rate Card'!C29,IF(P20="EC2 (Lift &amp; Shift)",'⚙️ Rate Card'!C25,IF(P20="AWS QuickSight",'⚙️ Rate Card'!C27,IF(P20="Power BI",'⚙️ Rate Card'!C28,IF(P20="Custom Reporting Solution",'⚙️ Rate Card'!C26,0))))))*0.2+(IF(B20="",0,'⚙️ Rate Card'!C33+(D20/100)*'⚙️ Rate Card'!C34))*0.2+AE20+(((D20/100)*'⚙️ Rate Card'!C7+F20*'⚙️ Rate Card'!C9+G20*'⚙️ Rate Card'!C10+H20*'⚙️ Rate Card'!C11+I20*'⚙️ Rate Card'!C12+J20*'⚙️ Rate Card'!C13+K20*'⚙️ Rate Card'!C14+(D20/100)*'⚙️ Rate Card'!C8+L20*IF(OR(O20="N/A",O20="None",O20=""),0,IF(O20="High",'⚙️ Rate Card'!C20,IF(O20="Medium",'⚙️ Rate Card'!C19,'⚙️ Rate Card'!C18)))+M20*IF(OR(P20="Decommission",P20=""),'⚙️ Rate Card'!C29,IF(P20="EC2 (Lift &amp; Shift)",'⚙️ Rate Card'!C25,IF(P20="AWS QuickSight",'⚙️ Rate Card'!C27,IF(P20="Power BI",'⚙️ Rate Card'!C28,IF(P20="Custom Reporting Solution",'⚙️ Rate Card'!C26,0)))))+IF(B20="",0,'⚙️ Rate Card'!C33+(D20/100)*'⚙️ Rate Card'!C34)))*'⚙️ Rate Card'!C35*0.2+(((D20/100)*'⚙️ Rate Card'!C7+F20*'⚙️ Rate Card'!C9+G20*'⚙️ Rate Card'!C10+H20*'⚙️ Rate Card'!C11+I20*'⚙️ Rate Card'!C12+J20*'⚙️ Rate Card'!C13+K20*'⚙️ Rate Card'!C14+(D20/100)*'⚙️ Rate Card'!C8+L20*IF(OR(O20="N/A",O20="None",O20=""),0,IF(O20="High",'⚙️ Rate Card'!C20,IF(O20="Medium",'⚙️ Rate Card'!C19,'⚙️ Rate Card'!C18)))+M20*IF(OR(P20="Decommission",P20=""),'⚙️ Rate Card'!C29,IF(P20="EC2 (Lift &amp; Shift)",'⚙️ Rate Card'!C25,IF(P20="AWS QuickSight",'⚙️ Rate Card'!C27,IF(P20="Power BI",'⚙️ Rate Card'!C28,IF(P20="Custom Reporting Solution",'⚙️ Rate Card'!C26,0)))))+IF(B20="",0,'⚙️ Rate Card'!C33+(D20/100)*'⚙️ Rate Card'!C34)))*'⚙️ Rate Card'!C36*0.2+(((D20/100)*'⚙️ Rate Card'!C7+F20*'⚙️ Rate Card'!C9+G20*'⚙️ Rate Card'!C10+H20*'⚙️ Rate Card'!C11+I20*'⚙️ Rate Card'!C12+J20*'⚙️ Rate Card'!C13+K20*'⚙️ Rate Card'!C14+(D20/100)*'⚙️ Rate Card'!C8+L20*IF(OR(O20="N/A",O20="None",O20=""),0,IF(O20="High",'⚙️ Rate Card'!C20,IF(O20="Medium",'⚙️ Rate Card'!C19,'⚙️ Rate Card'!C18)))+M20*IF(OR(P20="Decommission",P20=""),'⚙️ Rate Card'!C29,IF(P20="EC2 (Lift &amp; Shift)",'⚙️ Rate Card'!C25,IF(P20="AWS QuickSight",'⚙️ Rate Card'!C27,IF(P20="Power BI",'⚙️ Rate Card'!C28,IF(P20="Custom Reporting Solution",'⚙️ Rate Card'!C26,0)))))+IF(B20="",0,'⚙️ Rate Card'!C33+(D20/100)*'⚙️ Rate Card'!C34)))*'⚙️ Rate Card'!C37*0.2)</f>
        <v>0</v>
      </c>
      <c r="AP20" s="37" t="n">
        <f aca="false">'✏️ SME Input'!B21</f>
        <v>0</v>
      </c>
      <c r="AQ20" s="37" t="n">
        <f aca="false">'✏️ SME Input'!C21</f>
        <v>0</v>
      </c>
      <c r="AR20" s="37" t="n">
        <f aca="false">'✏️ SME Input'!D21</f>
        <v>0</v>
      </c>
    </row>
    <row r="21" customFormat="false" ht="18" hidden="false" customHeight="true" outlineLevel="0" collapsed="false">
      <c r="B21" s="40" t="n">
        <f aca="false">'✏️ SME Input'!E22</f>
        <v>0</v>
      </c>
      <c r="C21" s="31" t="str">
        <f aca="false">IF(B21="","",IF(D21&gt;1000,"T3 Complex",IF(D21&gt;500,"T2 Moderate","T1 Simple")))</f>
        <v/>
      </c>
      <c r="D21" s="32" t="n">
        <f aca="false">'✏️ SME Input'!G22</f>
        <v>0</v>
      </c>
      <c r="E21" s="32" t="n">
        <f aca="false">'✏️ SME Input'!H22</f>
        <v>0</v>
      </c>
      <c r="F21" s="32" t="n">
        <f aca="false">'✏️ SME Input'!I22</f>
        <v>0</v>
      </c>
      <c r="G21" s="32" t="n">
        <f aca="false">'✏️ SME Input'!J22</f>
        <v>0</v>
      </c>
      <c r="H21" s="32" t="n">
        <f aca="false">'✏️ SME Input'!K22</f>
        <v>0</v>
      </c>
      <c r="I21" s="32" t="n">
        <f aca="false">'✏️ SME Input'!L22</f>
        <v>0</v>
      </c>
      <c r="J21" s="32" t="n">
        <f aca="false">'✏️ SME Input'!M22</f>
        <v>0</v>
      </c>
      <c r="K21" s="32" t="n">
        <f aca="false">'✏️ SME Input'!N22</f>
        <v>0</v>
      </c>
      <c r="L21" s="32" t="n">
        <f aca="false">'✏️ SME Input'!O22</f>
        <v>0</v>
      </c>
      <c r="M21" s="32" t="n">
        <f aca="false">'✏️ SME Input'!P22</f>
        <v>0</v>
      </c>
      <c r="N21" s="17" t="n">
        <f aca="false">'✏️ SME Input'!Q22</f>
        <v>0</v>
      </c>
      <c r="O21" s="33" t="n">
        <f aca="false">'✏️ SME Input'!R22</f>
        <v>0</v>
      </c>
      <c r="P21" s="33" t="n">
        <f aca="false">'✏️ SME Input'!S22</f>
        <v>0</v>
      </c>
      <c r="Q21" s="32" t="n">
        <f aca="false">'✏️ SME Input'!F22</f>
        <v>0</v>
      </c>
      <c r="R21" s="34" t="n">
        <f aca="false">IF(B21="",0,((D21/100)*'⚙️ Rate Card'!C7+F21*'⚙️ Rate Card'!C9+G21*'⚙️ Rate Card'!C10+H21*'⚙️ Rate Card'!C11+I21*'⚙️ Rate Card'!C12+J21*'⚙️ Rate Card'!C13+K21*'⚙️ Rate Card'!C14+(D21/100)*'⚙️ Rate Card'!C8+L21*IF(OR(O21="N/A",O21="None",O21=""),0,IF(O21="High",'⚙️ Rate Card'!C20,IF(O21="Medium",'⚙️ Rate Card'!C19,'⚙️ Rate Card'!C18)))+M21*IF(OR(P21="Decommission",P21=""),'⚙️ Rate Card'!C29,IF(P21="EC2 (Lift &amp; Shift)",'⚙️ Rate Card'!C25,IF(P21="AWS QuickSight",'⚙️ Rate Card'!C27,IF(P21="Power BI",'⚙️ Rate Card'!C28,IF(P21="Custom Reporting Solution",'⚙️ Rate Card'!C26,0)))))+IF(B21="",0,'⚙️ Rate Card'!C33+(D21/100)*'⚙️ Rate Card'!C34))*'⚙️ Rate Card'!C37+(D21/100)*'⚙️ Rate Card'!C7+F21*'⚙️ Rate Card'!C9+G21*'⚙️ Rate Card'!C10+H21*'⚙️ Rate Card'!C11+I21*'⚙️ Rate Card'!C12+J21*'⚙️ Rate Card'!C13+K21*'⚙️ Rate Card'!C14+(D21/100)*'⚙️ Rate Card'!C8+(D21/100)*'⚙️ Rate Card'!C8+L21*IF(OR(O21="N/A",O21="None",O21=""),0,IF(O21="High",'⚙️ Rate Card'!C20,IF(O21="Medium",'⚙️ Rate Card'!C19,'⚙️ Rate Card'!C18)))+M21*IF(OR(P21="Decommission",P21=""),'⚙️ Rate Card'!C29,IF(P21="EC2 (Lift &amp; Shift)",'⚙️ Rate Card'!C25,IF(P21="AWS QuickSight",'⚙️ Rate Card'!C27,IF(P21="Power BI",'⚙️ Rate Card'!C28,IF(P21="Custom Reporting Solution",'⚙️ Rate Card'!C26,0)))))+IF(B21="",0,'⚙️ Rate Card'!C33+(D21/100)*'⚙️ Rate Card'!C34)+((D21/100)*'⚙️ Rate Card'!C7+F21*'⚙️ Rate Card'!C9+G21*'⚙️ Rate Card'!C10+H21*'⚙️ Rate Card'!C11+I21*'⚙️ Rate Card'!C12+J21*'⚙️ Rate Card'!C13+K21*'⚙️ Rate Card'!C14+(D21/100)*'⚙️ Rate Card'!C8+L21*IF(OR(O21="N/A",O21="None",O21=""),0,IF(O21="High",'⚙️ Rate Card'!C20,IF(O21="Medium",'⚙️ Rate Card'!C19,'⚙️ Rate Card'!C18)))+M21*IF(OR(P21="Decommission",P21=""),'⚙️ Rate Card'!C29,IF(P21="EC2 (Lift &amp; Shift)",'⚙️ Rate Card'!C25,IF(P21="AWS QuickSight",'⚙️ Rate Card'!C27,IF(P21="Power BI",'⚙️ Rate Card'!C28,IF(P21="Custom Reporting Solution",'⚙️ Rate Card'!C26,0)))))+IF(B21="",0,'⚙️ Rate Card'!C33+(D21/100)*'⚙️ Rate Card'!C34))*'⚙️ Rate Card'!C35+((D21/100)*'⚙️ Rate Card'!C7+F21*'⚙️ Rate Card'!C9+G21*'⚙️ Rate Card'!C10+H21*'⚙️ Rate Card'!C11+I21*'⚙️ Rate Card'!C12+J21*'⚙️ Rate Card'!C13+K21*'⚙️ Rate Card'!C14+(D21/100)*'⚙️ Rate Card'!C8+L21*IF(OR(O21="N/A",O21="None",O21=""),0,IF(O21="High",'⚙️ Rate Card'!C20,IF(O21="Medium",'⚙️ Rate Card'!C19,'⚙️ Rate Card'!C18)))+M21*IF(OR(P21="Decommission",P21=""),'⚙️ Rate Card'!C29,IF(P21="EC2 (Lift &amp; Shift)",'⚙️ Rate Card'!C25,IF(P21="AWS QuickSight",'⚙️ Rate Card'!C27,IF(P21="Power BI",'⚙️ Rate Card'!C28,IF(P21="Custom Reporting Solution",'⚙️ Rate Card'!C26,0)))))+IF(B21="",0,'⚙️ Rate Card'!C33+(D21/100)*'⚙️ Rate Card'!C34))*'⚙️ Rate Card'!C36)</f>
        <v>0</v>
      </c>
      <c r="S21" s="34" t="n">
        <f aca="false">IF(B21="",0,(((D21/100)*'⚙️ Rate Card'!C7+F21*'⚙️ Rate Card'!C9+G21*'⚙️ Rate Card'!C10+H21*'⚙️ Rate Card'!C11+I21*'⚙️ Rate Card'!C12+J21*'⚙️ Rate Card'!C13+K21*'⚙️ Rate Card'!C14+(D21/100)*'⚙️ Rate Card'!C8+L21*IF(OR(O21="N/A",O21="None",O21=""),0,IF(O21="High",'⚙️ Rate Card'!C20,IF(O21="Medium",'⚙️ Rate Card'!C19,'⚙️ Rate Card'!C18)))+M21*IF(OR(P21="Decommission",P21=""),'⚙️ Rate Card'!C29,IF(P21="EC2 (Lift &amp; Shift)",'⚙️ Rate Card'!C25,IF(P21="AWS QuickSight",'⚙️ Rate Card'!C27,IF(P21="Power BI",'⚙️ Rate Card'!C28,IF(P21="Custom Reporting Solution",'⚙️ Rate Card'!C26,0)))))+IF(B21="",0,'⚙️ Rate Card'!C33+(D21/100)*'⚙️ Rate Card'!C34))*'⚙️ Rate Card'!C37)*(1-'📊 Dashboard'!C10/100)+(((D21/100)*'⚙️ Rate Card'!C7+F21*'⚙️ Rate Card'!C9+G21*'⚙️ Rate Card'!C10+H21*'⚙️ Rate Card'!C11+I21*'⚙️ Rate Card'!C12+J21*'⚙️ Rate Card'!C13+K21*'⚙️ Rate Card'!C14+(D21/100)*'⚙️ Rate Card'!C8+(D21/100)*'⚙️ Rate Card'!C8))*(1-'📊 Dashboard'!C10/100)+(L21*IF(OR(O21="N/A",O21="None",O21=""),0,IF(O21="High",'⚙️ Rate Card'!C20,IF(O21="Medium",'⚙️ Rate Card'!C19,'⚙️ Rate Card'!C18))))*(1-'📊 Dashboard'!C11/100)+(M21*IF(OR(P21="Decommission",P21=""),'⚙️ Rate Card'!C29,IF(P21="EC2 (Lift &amp; Shift)",'⚙️ Rate Card'!C25,IF(P21="AWS QuickSight",'⚙️ Rate Card'!C27,IF(P21="Power BI",'⚙️ Rate Card'!C28,IF(P21="Custom Reporting Solution",'⚙️ Rate Card'!C26,0))))))*(1-'📊 Dashboard'!C12/100)+(IF(B21="",0,'⚙️ Rate Card'!C33+(D21/100)*'⚙️ Rate Card'!C34))*(1-'📊 Dashboard'!C10/100)+(((D21/100)*'⚙️ Rate Card'!C7+F21*'⚙️ Rate Card'!C9+G21*'⚙️ Rate Card'!C10+H21*'⚙️ Rate Card'!C11+I21*'⚙️ Rate Card'!C12+J21*'⚙️ Rate Card'!C13+K21*'⚙️ Rate Card'!C14+(D21/100)*'⚙️ Rate Card'!C8+L21*IF(OR(O21="N/A",O21="None",O21=""),0,IF(O21="High",'⚙️ Rate Card'!C20,IF(O21="Medium",'⚙️ Rate Card'!C19,'⚙️ Rate Card'!C18)))+M21*IF(OR(P21="Decommission",P21=""),'⚙️ Rate Card'!C29,IF(P21="EC2 (Lift &amp; Shift)",'⚙️ Rate Card'!C25,IF(P21="AWS QuickSight",'⚙️ Rate Card'!C27,IF(P21="Power BI",'⚙️ Rate Card'!C28,IF(P21="Custom Reporting Solution",'⚙️ Rate Card'!C26,0)))))+IF(B21="",0,'⚙️ Rate Card'!C33+(D21/100)*'⚙️ Rate Card'!C34))*'⚙️ Rate Card'!C35)*(1-'📊 Dashboard'!C13/100)+(((D21/100)*'⚙️ Rate Card'!C7+F21*'⚙️ Rate Card'!C9+G21*'⚙️ Rate Card'!C10+H21*'⚙️ Rate Card'!C11+I21*'⚙️ Rate Card'!C12+J21*'⚙️ Rate Card'!C13+K21*'⚙️ Rate Card'!C14+(D21/100)*'⚙️ Rate Card'!C8+L21*IF(OR(O21="N/A",O21="None",O21=""),0,IF(O21="High",'⚙️ Rate Card'!C20,IF(O21="Medium",'⚙️ Rate Card'!C19,'⚙️ Rate Card'!C18)))+M21*IF(OR(P21="Decommission",P21=""),'⚙️ Rate Card'!C29,IF(P21="EC2 (Lift &amp; Shift)",'⚙️ Rate Card'!C25,IF(P21="AWS QuickSight",'⚙️ Rate Card'!C27,IF(P21="Power BI",'⚙️ Rate Card'!C28,IF(P21="Custom Reporting Solution",'⚙️ Rate Card'!C26,0)))))+IF(B21="",0,'⚙️ Rate Card'!C33+(D21/100)*'⚙️ Rate Card'!C34))*'⚙️ Rate Card'!C36)*(1-'📊 Dashboard'!C10/100))</f>
        <v>0</v>
      </c>
      <c r="T21" s="35" t="n">
        <f aca="false">IF(B21="",0,S21*(1+'📊 Dashboard'!C14/100))</f>
        <v>0</v>
      </c>
      <c r="U21" s="41" t="n">
        <f aca="false">IF(B21="",0,((D21/100)*'⚙️ Rate Card'!C7+F21*'⚙️ Rate Card'!C9+G21*'⚙️ Rate Card'!C10+H21*'⚙️ Rate Card'!C11+I21*'⚙️ Rate Card'!C12+J21*'⚙️ Rate Card'!C13+K21*'⚙️ Rate Card'!C14+(D21/100)*'⚙️ Rate Card'!C8+L21*IF(OR(O21="N/A",O21="None",O21=""),0,IF(O21="High",'⚙️ Rate Card'!C20,IF(O21="Medium",'⚙️ Rate Card'!C19,'⚙️ Rate Card'!C18)))+M21*IF(OR(P21="Decommission",P21=""),'⚙️ Rate Card'!C29,IF(P21="EC2 (Lift &amp; Shift)",'⚙️ Rate Card'!C25,IF(P21="AWS QuickSight",'⚙️ Rate Card'!C27,IF(P21="Power BI",'⚙️ Rate Card'!C28,IF(P21="Custom Reporting Solution",'⚙️ Rate Card'!C26,0)))))+IF(B21="",0,'⚙️ Rate Card'!C33+(D21/100)*'⚙️ Rate Card'!C34))*'⚙️ Rate Card'!C37)</f>
        <v>0</v>
      </c>
      <c r="V21" s="41" t="n">
        <f aca="false">IF(B21="",0,(D21/100)*'⚙️ Rate Card'!C7+F21*'⚙️ Rate Card'!C9+G21*'⚙️ Rate Card'!C10+H21*'⚙️ Rate Card'!C11+I21*'⚙️ Rate Card'!C12+J21*'⚙️ Rate Card'!C13+K21*'⚙️ Rate Card'!C14+(D21/100)*'⚙️ Rate Card'!C8+(D21/100)*'⚙️ Rate Card'!C8)</f>
        <v>0</v>
      </c>
      <c r="W21" s="41" t="n">
        <f aca="false">IF(B21="",0,L21*IF(OR(O21="N/A",O21="None",O21=""),0,IF(O21="High",'⚙️ Rate Card'!C20,IF(O21="Medium",'⚙️ Rate Card'!C19,'⚙️ Rate Card'!C18))))</f>
        <v>0</v>
      </c>
      <c r="X21" s="41" t="n">
        <f aca="false">IF(B21="",0,M21*IF(OR(P21="Decommission",P21=""),'⚙️ Rate Card'!C29,IF(P21="EC2 (Lift &amp; Shift)",'⚙️ Rate Card'!C25,IF(P21="AWS QuickSight",'⚙️ Rate Card'!C27,IF(P21="Power BI",'⚙️ Rate Card'!C28,IF(P21="Custom Reporting Solution",'⚙️ Rate Card'!C26,0))))))</f>
        <v>0</v>
      </c>
      <c r="Y21" s="41" t="n">
        <f aca="false">IF(B21="",0,IF(B21="",0,'⚙️ Rate Card'!C33+(D21/100)*'⚙️ Rate Card'!C34))</f>
        <v>0</v>
      </c>
      <c r="Z21" s="41" t="n">
        <f aca="false">IF(B21="",0,((D21/100)*'⚙️ Rate Card'!C7+F21*'⚙️ Rate Card'!C9+G21*'⚙️ Rate Card'!C10+H21*'⚙️ Rate Card'!C11+I21*'⚙️ Rate Card'!C12+J21*'⚙️ Rate Card'!C13+K21*'⚙️ Rate Card'!C14+(D21/100)*'⚙️ Rate Card'!C8+L21*IF(OR(O21="N/A",O21="None",O21=""),0,IF(O21="High",'⚙️ Rate Card'!C20,IF(O21="Medium",'⚙️ Rate Card'!C19,'⚙️ Rate Card'!C18)))+M21*IF(OR(P21="Decommission",P21=""),'⚙️ Rate Card'!C29,IF(P21="EC2 (Lift &amp; Shift)",'⚙️ Rate Card'!C25,IF(P21="AWS QuickSight",'⚙️ Rate Card'!C27,IF(P21="Power BI",'⚙️ Rate Card'!C28,IF(P21="Custom Reporting Solution",'⚙️ Rate Card'!C26,0)))))+IF(B21="",0,'⚙️ Rate Card'!C33+(D21/100)*'⚙️ Rate Card'!C34))*'⚙️ Rate Card'!C35)</f>
        <v>0</v>
      </c>
      <c r="AA21" s="41" t="n">
        <f aca="false">IF(B21="",0,((D21/100)*'⚙️ Rate Card'!C7+F21*'⚙️ Rate Card'!C9+G21*'⚙️ Rate Card'!C10+H21*'⚙️ Rate Card'!C11+I21*'⚙️ Rate Card'!C12+J21*'⚙️ Rate Card'!C13+K21*'⚙️ Rate Card'!C14+(D21/100)*'⚙️ Rate Card'!C8+L21*IF(OR(O21="N/A",O21="None",O21=""),0,IF(O21="High",'⚙️ Rate Card'!C20,IF(O21="Medium",'⚙️ Rate Card'!C19,'⚙️ Rate Card'!C18)))+M21*IF(OR(P21="Decommission",P21=""),'⚙️ Rate Card'!C29,IF(P21="EC2 (Lift &amp; Shift)",'⚙️ Rate Card'!C25,IF(P21="AWS QuickSight",'⚙️ Rate Card'!C27,IF(P21="Power BI",'⚙️ Rate Card'!C28,IF(P21="Custom Reporting Solution",'⚙️ Rate Card'!C26,0)))))+IF(B21="",0,'⚙️ Rate Card'!C33+(D21/100)*'⚙️ Rate Card'!C34))*'⚙️ Rate Card'!C36)</f>
        <v>0</v>
      </c>
      <c r="AB21" s="37" t="n">
        <f aca="false">'✏️ SME Input'!T22</f>
        <v>0</v>
      </c>
      <c r="AC21" s="41" t="n">
        <f aca="false">IF(B21="",0,AB21*0.75)</f>
        <v>0</v>
      </c>
      <c r="AD21" s="41" t="n">
        <f aca="false">IF(B21="",0,AB21*0.75)</f>
        <v>0</v>
      </c>
      <c r="AE21" s="41" t="n">
        <f aca="false">IF(B21="",0,AB21*0.75)</f>
        <v>0</v>
      </c>
      <c r="AF21" s="41" t="n">
        <f aca="false">IF(B21="",0,AB21*2.25)</f>
        <v>0</v>
      </c>
      <c r="AG21" s="41" t="n">
        <f aca="false">IF(B21="",0,((D21/100)*'⚙️ Rate Card'!C7+F21*'⚙️ Rate Card'!C9+G21*'⚙️ Rate Card'!C10+H21*'⚙️ Rate Card'!C11+I21*'⚙️ Rate Card'!C12+J21*'⚙️ Rate Card'!C13+K21*'⚙️ Rate Card'!C14+(D21/100)*'⚙️ Rate Card'!C8)*0.4)</f>
        <v>0</v>
      </c>
      <c r="AH21" s="41" t="n">
        <f aca="false">IF(B21="",0,((D21/100)*'⚙️ Rate Card'!C7+F21*'⚙️ Rate Card'!C9+G21*'⚙️ Rate Card'!C10+H21*'⚙️ Rate Card'!C11+I21*'⚙️ Rate Card'!C12+J21*'⚙️ Rate Card'!C13+K21*'⚙️ Rate Card'!C14+(D21/100)*'⚙️ Rate Card'!C8)*0.4)</f>
        <v>0</v>
      </c>
      <c r="AI21" s="41" t="n">
        <f aca="false">IF(B21="",0,((D21/100)*'⚙️ Rate Card'!C7+F21*'⚙️ Rate Card'!C9+G21*'⚙️ Rate Card'!C10+H21*'⚙️ Rate Card'!C11+I21*'⚙️ Rate Card'!C12+J21*'⚙️ Rate Card'!C13+K21*'⚙️ Rate Card'!C14+(D21/100)*'⚙️ Rate Card'!C8)*0.2)</f>
        <v>0</v>
      </c>
      <c r="AJ21" s="41" t="n">
        <f aca="false">IF(B21="",0,(L21*IF(OR(O21="N/A",O21="None",O21=""),0,IF(O21="High",'⚙️ Rate Card'!C20,IF(O21="Medium",'⚙️ Rate Card'!C19,'⚙️ Rate Card'!C18))))*0.5)</f>
        <v>0</v>
      </c>
      <c r="AK21" s="41" t="n">
        <f aca="false">IF(B21="",0,(L21*IF(OR(O21="N/A",O21="None",O21=""),0,IF(O21="High",'⚙️ Rate Card'!C20,IF(O21="Medium",'⚙️ Rate Card'!C19,'⚙️ Rate Card'!C18))))*0.35)</f>
        <v>0</v>
      </c>
      <c r="AL21" s="41" t="n">
        <f aca="false">IF(B21="",0,(L21*IF(OR(O21="N/A",O21="None",O21=""),0,IF(O21="High",'⚙️ Rate Card'!C20,IF(O21="Medium",'⚙️ Rate Card'!C19,'⚙️ Rate Card'!C18))))*0.15)</f>
        <v>0</v>
      </c>
      <c r="AM21" s="35" t="n">
        <f aca="false">IF(B21="",0,AG21+AJ21+(M21*IF(OR(P21="Decommission",P21=""),'⚙️ Rate Card'!C29,IF(P21="EC2 (Lift &amp; Shift)",'⚙️ Rate Card'!C25,IF(P21="AWS QuickSight",'⚙️ Rate Card'!C27,IF(P21="Power BI",'⚙️ Rate Card'!C28,IF(P21="Custom Reporting Solution",'⚙️ Rate Card'!C26,0))))))*0.4+(IF(B21="",0,'⚙️ Rate Card'!C33+(D21/100)*'⚙️ Rate Card'!C34))*0.4+AC21+(((D21/100)*'⚙️ Rate Card'!C7+F21*'⚙️ Rate Card'!C9+G21*'⚙️ Rate Card'!C10+H21*'⚙️ Rate Card'!C11+I21*'⚙️ Rate Card'!C12+J21*'⚙️ Rate Card'!C13+K21*'⚙️ Rate Card'!C14+(D21/100)*'⚙️ Rate Card'!C8+L21*IF(OR(O21="N/A",O21="None",O21=""),0,IF(O21="High",'⚙️ Rate Card'!C20,IF(O21="Medium",'⚙️ Rate Card'!C19,'⚙️ Rate Card'!C18)))+M21*IF(OR(P21="Decommission",P21=""),'⚙️ Rate Card'!C29,IF(P21="EC2 (Lift &amp; Shift)",'⚙️ Rate Card'!C25,IF(P21="AWS QuickSight",'⚙️ Rate Card'!C27,IF(P21="Power BI",'⚙️ Rate Card'!C28,IF(P21="Custom Reporting Solution",'⚙️ Rate Card'!C26,0)))))+IF(B21="",0,'⚙️ Rate Card'!C33+(D21/100)*'⚙️ Rate Card'!C34)))*'⚙️ Rate Card'!C35*0.4+(((D21/100)*'⚙️ Rate Card'!C7+F21*'⚙️ Rate Card'!C9+G21*'⚙️ Rate Card'!C10+H21*'⚙️ Rate Card'!C11+I21*'⚙️ Rate Card'!C12+J21*'⚙️ Rate Card'!C13+K21*'⚙️ Rate Card'!C14+(D21/100)*'⚙️ Rate Card'!C8+L21*IF(OR(O21="N/A",O21="None",O21=""),0,IF(O21="High",'⚙️ Rate Card'!C20,IF(O21="Medium",'⚙️ Rate Card'!C19,'⚙️ Rate Card'!C18)))+M21*IF(OR(P21="Decommission",P21=""),'⚙️ Rate Card'!C29,IF(P21="EC2 (Lift &amp; Shift)",'⚙️ Rate Card'!C25,IF(P21="AWS QuickSight",'⚙️ Rate Card'!C27,IF(P21="Power BI",'⚙️ Rate Card'!C28,IF(P21="Custom Reporting Solution",'⚙️ Rate Card'!C26,0)))))+IF(B21="",0,'⚙️ Rate Card'!C33+(D21/100)*'⚙️ Rate Card'!C34)))*'⚙️ Rate Card'!C36*0.4+(((D21/100)*'⚙️ Rate Card'!C7+F21*'⚙️ Rate Card'!C9+G21*'⚙️ Rate Card'!C10+H21*'⚙️ Rate Card'!C11+I21*'⚙️ Rate Card'!C12+J21*'⚙️ Rate Card'!C13+K21*'⚙️ Rate Card'!C14+(D21/100)*'⚙️ Rate Card'!C8+L21*IF(OR(O21="N/A",O21="None",O21=""),0,IF(O21="High",'⚙️ Rate Card'!C20,IF(O21="Medium",'⚙️ Rate Card'!C19,'⚙️ Rate Card'!C18)))+M21*IF(OR(P21="Decommission",P21=""),'⚙️ Rate Card'!C29,IF(P21="EC2 (Lift &amp; Shift)",'⚙️ Rate Card'!C25,IF(P21="AWS QuickSight",'⚙️ Rate Card'!C27,IF(P21="Power BI",'⚙️ Rate Card'!C28,IF(P21="Custom Reporting Solution",'⚙️ Rate Card'!C26,0)))))+IF(B21="",0,'⚙️ Rate Card'!C33+(D21/100)*'⚙️ Rate Card'!C34)))*'⚙️ Rate Card'!C37*0.4)</f>
        <v>0</v>
      </c>
      <c r="AN21" s="38" t="n">
        <f aca="false">IF(B21="",0,AH21+AK21+(M21*IF(OR(P21="Decommission",P21=""),'⚙️ Rate Card'!C29,IF(P21="EC2 (Lift &amp; Shift)",'⚙️ Rate Card'!C25,IF(P21="AWS QuickSight",'⚙️ Rate Card'!C27,IF(P21="Power BI",'⚙️ Rate Card'!C28,IF(P21="Custom Reporting Solution",'⚙️ Rate Card'!C26,0))))))*0.4+(IF(B21="",0,'⚙️ Rate Card'!C33+(D21/100)*'⚙️ Rate Card'!C34))*0.4+AD21+(((D21/100)*'⚙️ Rate Card'!C7+F21*'⚙️ Rate Card'!C9+G21*'⚙️ Rate Card'!C10+H21*'⚙️ Rate Card'!C11+I21*'⚙️ Rate Card'!C12+J21*'⚙️ Rate Card'!C13+K21*'⚙️ Rate Card'!C14+(D21/100)*'⚙️ Rate Card'!C8+L21*IF(OR(O21="N/A",O21="None",O21=""),0,IF(O21="High",'⚙️ Rate Card'!C20,IF(O21="Medium",'⚙️ Rate Card'!C19,'⚙️ Rate Card'!C18)))+M21*IF(OR(P21="Decommission",P21=""),'⚙️ Rate Card'!C29,IF(P21="EC2 (Lift &amp; Shift)",'⚙️ Rate Card'!C25,IF(P21="AWS QuickSight",'⚙️ Rate Card'!C27,IF(P21="Power BI",'⚙️ Rate Card'!C28,IF(P21="Custom Reporting Solution",'⚙️ Rate Card'!C26,0)))))+IF(B21="",0,'⚙️ Rate Card'!C33+(D21/100)*'⚙️ Rate Card'!C34)))*'⚙️ Rate Card'!C35*0.4+(((D21/100)*'⚙️ Rate Card'!C7+F21*'⚙️ Rate Card'!C9+G21*'⚙️ Rate Card'!C10+H21*'⚙️ Rate Card'!C11+I21*'⚙️ Rate Card'!C12+J21*'⚙️ Rate Card'!C13+K21*'⚙️ Rate Card'!C14+(D21/100)*'⚙️ Rate Card'!C8+L21*IF(OR(O21="N/A",O21="None",O21=""),0,IF(O21="High",'⚙️ Rate Card'!C20,IF(O21="Medium",'⚙️ Rate Card'!C19,'⚙️ Rate Card'!C18)))+M21*IF(OR(P21="Decommission",P21=""),'⚙️ Rate Card'!C29,IF(P21="EC2 (Lift &amp; Shift)",'⚙️ Rate Card'!C25,IF(P21="AWS QuickSight",'⚙️ Rate Card'!C27,IF(P21="Power BI",'⚙️ Rate Card'!C28,IF(P21="Custom Reporting Solution",'⚙️ Rate Card'!C26,0)))))+IF(B21="",0,'⚙️ Rate Card'!C33+(D21/100)*'⚙️ Rate Card'!C34)))*'⚙️ Rate Card'!C36*0.4+(((D21/100)*'⚙️ Rate Card'!C7+F21*'⚙️ Rate Card'!C9+G21*'⚙️ Rate Card'!C10+H21*'⚙️ Rate Card'!C11+I21*'⚙️ Rate Card'!C12+J21*'⚙️ Rate Card'!C13+K21*'⚙️ Rate Card'!C14+(D21/100)*'⚙️ Rate Card'!C8+L21*IF(OR(O21="N/A",O21="None",O21=""),0,IF(O21="High",'⚙️ Rate Card'!C20,IF(O21="Medium",'⚙️ Rate Card'!C19,'⚙️ Rate Card'!C18)))+M21*IF(OR(P21="Decommission",P21=""),'⚙️ Rate Card'!C29,IF(P21="EC2 (Lift &amp; Shift)",'⚙️ Rate Card'!C25,IF(P21="AWS QuickSight",'⚙️ Rate Card'!C27,IF(P21="Power BI",'⚙️ Rate Card'!C28,IF(P21="Custom Reporting Solution",'⚙️ Rate Card'!C26,0)))))+IF(B21="",0,'⚙️ Rate Card'!C33+(D21/100)*'⚙️ Rate Card'!C34)))*'⚙️ Rate Card'!C37*0.4)</f>
        <v>0</v>
      </c>
      <c r="AO21" s="39" t="n">
        <f aca="false">IF(B21="",0,AI21+AL21+(M21*IF(OR(P21="Decommission",P21=""),'⚙️ Rate Card'!C29,IF(P21="EC2 (Lift &amp; Shift)",'⚙️ Rate Card'!C25,IF(P21="AWS QuickSight",'⚙️ Rate Card'!C27,IF(P21="Power BI",'⚙️ Rate Card'!C28,IF(P21="Custom Reporting Solution",'⚙️ Rate Card'!C26,0))))))*0.2+(IF(B21="",0,'⚙️ Rate Card'!C33+(D21/100)*'⚙️ Rate Card'!C34))*0.2+AE21+(((D21/100)*'⚙️ Rate Card'!C7+F21*'⚙️ Rate Card'!C9+G21*'⚙️ Rate Card'!C10+H21*'⚙️ Rate Card'!C11+I21*'⚙️ Rate Card'!C12+J21*'⚙️ Rate Card'!C13+K21*'⚙️ Rate Card'!C14+(D21/100)*'⚙️ Rate Card'!C8+L21*IF(OR(O21="N/A",O21="None",O21=""),0,IF(O21="High",'⚙️ Rate Card'!C20,IF(O21="Medium",'⚙️ Rate Card'!C19,'⚙️ Rate Card'!C18)))+M21*IF(OR(P21="Decommission",P21=""),'⚙️ Rate Card'!C29,IF(P21="EC2 (Lift &amp; Shift)",'⚙️ Rate Card'!C25,IF(P21="AWS QuickSight",'⚙️ Rate Card'!C27,IF(P21="Power BI",'⚙️ Rate Card'!C28,IF(P21="Custom Reporting Solution",'⚙️ Rate Card'!C26,0)))))+IF(B21="",0,'⚙️ Rate Card'!C33+(D21/100)*'⚙️ Rate Card'!C34)))*'⚙️ Rate Card'!C35*0.2+(((D21/100)*'⚙️ Rate Card'!C7+F21*'⚙️ Rate Card'!C9+G21*'⚙️ Rate Card'!C10+H21*'⚙️ Rate Card'!C11+I21*'⚙️ Rate Card'!C12+J21*'⚙️ Rate Card'!C13+K21*'⚙️ Rate Card'!C14+(D21/100)*'⚙️ Rate Card'!C8+L21*IF(OR(O21="N/A",O21="None",O21=""),0,IF(O21="High",'⚙️ Rate Card'!C20,IF(O21="Medium",'⚙️ Rate Card'!C19,'⚙️ Rate Card'!C18)))+M21*IF(OR(P21="Decommission",P21=""),'⚙️ Rate Card'!C29,IF(P21="EC2 (Lift &amp; Shift)",'⚙️ Rate Card'!C25,IF(P21="AWS QuickSight",'⚙️ Rate Card'!C27,IF(P21="Power BI",'⚙️ Rate Card'!C28,IF(P21="Custom Reporting Solution",'⚙️ Rate Card'!C26,0)))))+IF(B21="",0,'⚙️ Rate Card'!C33+(D21/100)*'⚙️ Rate Card'!C34)))*'⚙️ Rate Card'!C36*0.2+(((D21/100)*'⚙️ Rate Card'!C7+F21*'⚙️ Rate Card'!C9+G21*'⚙️ Rate Card'!C10+H21*'⚙️ Rate Card'!C11+I21*'⚙️ Rate Card'!C12+J21*'⚙️ Rate Card'!C13+K21*'⚙️ Rate Card'!C14+(D21/100)*'⚙️ Rate Card'!C8+L21*IF(OR(O21="N/A",O21="None",O21=""),0,IF(O21="High",'⚙️ Rate Card'!C20,IF(O21="Medium",'⚙️ Rate Card'!C19,'⚙️ Rate Card'!C18)))+M21*IF(OR(P21="Decommission",P21=""),'⚙️ Rate Card'!C29,IF(P21="EC2 (Lift &amp; Shift)",'⚙️ Rate Card'!C25,IF(P21="AWS QuickSight",'⚙️ Rate Card'!C27,IF(P21="Power BI",'⚙️ Rate Card'!C28,IF(P21="Custom Reporting Solution",'⚙️ Rate Card'!C26,0)))))+IF(B21="",0,'⚙️ Rate Card'!C33+(D21/100)*'⚙️ Rate Card'!C34)))*'⚙️ Rate Card'!C37*0.2)</f>
        <v>0</v>
      </c>
      <c r="AP21" s="42" t="n">
        <f aca="false">'✏️ SME Input'!B22</f>
        <v>0</v>
      </c>
      <c r="AQ21" s="42" t="n">
        <f aca="false">'✏️ SME Input'!C22</f>
        <v>0</v>
      </c>
      <c r="AR21" s="42" t="n">
        <f aca="false">'✏️ SME Input'!D22</f>
        <v>0</v>
      </c>
    </row>
    <row r="22" customFormat="false" ht="18" hidden="false" customHeight="true" outlineLevel="0" collapsed="false">
      <c r="B22" s="30" t="n">
        <f aca="false">'✏️ SME Input'!E23</f>
        <v>0</v>
      </c>
      <c r="C22" s="31" t="str">
        <f aca="false">IF(B22="","",IF(D22&gt;1000,"T3 Complex",IF(D22&gt;500,"T2 Moderate","T1 Simple")))</f>
        <v/>
      </c>
      <c r="D22" s="32" t="n">
        <f aca="false">'✏️ SME Input'!G23</f>
        <v>0</v>
      </c>
      <c r="E22" s="32" t="n">
        <f aca="false">'✏️ SME Input'!H23</f>
        <v>0</v>
      </c>
      <c r="F22" s="32" t="n">
        <f aca="false">'✏️ SME Input'!I23</f>
        <v>0</v>
      </c>
      <c r="G22" s="32" t="n">
        <f aca="false">'✏️ SME Input'!J23</f>
        <v>0</v>
      </c>
      <c r="H22" s="32" t="n">
        <f aca="false">'✏️ SME Input'!K23</f>
        <v>0</v>
      </c>
      <c r="I22" s="32" t="n">
        <f aca="false">'✏️ SME Input'!L23</f>
        <v>0</v>
      </c>
      <c r="J22" s="32" t="n">
        <f aca="false">'✏️ SME Input'!M23</f>
        <v>0</v>
      </c>
      <c r="K22" s="32" t="n">
        <f aca="false">'✏️ SME Input'!N23</f>
        <v>0</v>
      </c>
      <c r="L22" s="32" t="n">
        <f aca="false">'✏️ SME Input'!O23</f>
        <v>0</v>
      </c>
      <c r="M22" s="32" t="n">
        <f aca="false">'✏️ SME Input'!P23</f>
        <v>0</v>
      </c>
      <c r="N22" s="17" t="n">
        <f aca="false">'✏️ SME Input'!Q23</f>
        <v>0</v>
      </c>
      <c r="O22" s="33" t="n">
        <f aca="false">'✏️ SME Input'!R23</f>
        <v>0</v>
      </c>
      <c r="P22" s="33" t="n">
        <f aca="false">'✏️ SME Input'!S23</f>
        <v>0</v>
      </c>
      <c r="Q22" s="32" t="n">
        <f aca="false">'✏️ SME Input'!F23</f>
        <v>0</v>
      </c>
      <c r="R22" s="34" t="n">
        <f aca="false">IF(B22="",0,((D22/100)*'⚙️ Rate Card'!C7+F22*'⚙️ Rate Card'!C9+G22*'⚙️ Rate Card'!C10+H22*'⚙️ Rate Card'!C11+I22*'⚙️ Rate Card'!C12+J22*'⚙️ Rate Card'!C13+K22*'⚙️ Rate Card'!C14+(D22/100)*'⚙️ Rate Card'!C8+L22*IF(OR(O22="N/A",O22="None",O22=""),0,IF(O22="High",'⚙️ Rate Card'!C20,IF(O22="Medium",'⚙️ Rate Card'!C19,'⚙️ Rate Card'!C18)))+M22*IF(OR(P22="Decommission",P22=""),'⚙️ Rate Card'!C29,IF(P22="EC2 (Lift &amp; Shift)",'⚙️ Rate Card'!C25,IF(P22="AWS QuickSight",'⚙️ Rate Card'!C27,IF(P22="Power BI",'⚙️ Rate Card'!C28,IF(P22="Custom Reporting Solution",'⚙️ Rate Card'!C26,0)))))+IF(B22="",0,'⚙️ Rate Card'!C33+(D22/100)*'⚙️ Rate Card'!C34))*'⚙️ Rate Card'!C37+(D22/100)*'⚙️ Rate Card'!C7+F22*'⚙️ Rate Card'!C9+G22*'⚙️ Rate Card'!C10+H22*'⚙️ Rate Card'!C11+I22*'⚙️ Rate Card'!C12+J22*'⚙️ Rate Card'!C13+K22*'⚙️ Rate Card'!C14+(D22/100)*'⚙️ Rate Card'!C8+(D22/100)*'⚙️ Rate Card'!C8+L22*IF(OR(O22="N/A",O22="None",O22=""),0,IF(O22="High",'⚙️ Rate Card'!C20,IF(O22="Medium",'⚙️ Rate Card'!C19,'⚙️ Rate Card'!C18)))+M22*IF(OR(P22="Decommission",P22=""),'⚙️ Rate Card'!C29,IF(P22="EC2 (Lift &amp; Shift)",'⚙️ Rate Card'!C25,IF(P22="AWS QuickSight",'⚙️ Rate Card'!C27,IF(P22="Power BI",'⚙️ Rate Card'!C28,IF(P22="Custom Reporting Solution",'⚙️ Rate Card'!C26,0)))))+IF(B22="",0,'⚙️ Rate Card'!C33+(D22/100)*'⚙️ Rate Card'!C34)+((D22/100)*'⚙️ Rate Card'!C7+F22*'⚙️ Rate Card'!C9+G22*'⚙️ Rate Card'!C10+H22*'⚙️ Rate Card'!C11+I22*'⚙️ Rate Card'!C12+J22*'⚙️ Rate Card'!C13+K22*'⚙️ Rate Card'!C14+(D22/100)*'⚙️ Rate Card'!C8+L22*IF(OR(O22="N/A",O22="None",O22=""),0,IF(O22="High",'⚙️ Rate Card'!C20,IF(O22="Medium",'⚙️ Rate Card'!C19,'⚙️ Rate Card'!C18)))+M22*IF(OR(P22="Decommission",P22=""),'⚙️ Rate Card'!C29,IF(P22="EC2 (Lift &amp; Shift)",'⚙️ Rate Card'!C25,IF(P22="AWS QuickSight",'⚙️ Rate Card'!C27,IF(P22="Power BI",'⚙️ Rate Card'!C28,IF(P22="Custom Reporting Solution",'⚙️ Rate Card'!C26,0)))))+IF(B22="",0,'⚙️ Rate Card'!C33+(D22/100)*'⚙️ Rate Card'!C34))*'⚙️ Rate Card'!C35+((D22/100)*'⚙️ Rate Card'!C7+F22*'⚙️ Rate Card'!C9+G22*'⚙️ Rate Card'!C10+H22*'⚙️ Rate Card'!C11+I22*'⚙️ Rate Card'!C12+J22*'⚙️ Rate Card'!C13+K22*'⚙️ Rate Card'!C14+(D22/100)*'⚙️ Rate Card'!C8+L22*IF(OR(O22="N/A",O22="None",O22=""),0,IF(O22="High",'⚙️ Rate Card'!C20,IF(O22="Medium",'⚙️ Rate Card'!C19,'⚙️ Rate Card'!C18)))+M22*IF(OR(P22="Decommission",P22=""),'⚙️ Rate Card'!C29,IF(P22="EC2 (Lift &amp; Shift)",'⚙️ Rate Card'!C25,IF(P22="AWS QuickSight",'⚙️ Rate Card'!C27,IF(P22="Power BI",'⚙️ Rate Card'!C28,IF(P22="Custom Reporting Solution",'⚙️ Rate Card'!C26,0)))))+IF(B22="",0,'⚙️ Rate Card'!C33+(D22/100)*'⚙️ Rate Card'!C34))*'⚙️ Rate Card'!C36)</f>
        <v>0</v>
      </c>
      <c r="S22" s="34" t="n">
        <f aca="false">IF(B22="",0,(((D22/100)*'⚙️ Rate Card'!C7+F22*'⚙️ Rate Card'!C9+G22*'⚙️ Rate Card'!C10+H22*'⚙️ Rate Card'!C11+I22*'⚙️ Rate Card'!C12+J22*'⚙️ Rate Card'!C13+K22*'⚙️ Rate Card'!C14+(D22/100)*'⚙️ Rate Card'!C8+L22*IF(OR(O22="N/A",O22="None",O22=""),0,IF(O22="High",'⚙️ Rate Card'!C20,IF(O22="Medium",'⚙️ Rate Card'!C19,'⚙️ Rate Card'!C18)))+M22*IF(OR(P22="Decommission",P22=""),'⚙️ Rate Card'!C29,IF(P22="EC2 (Lift &amp; Shift)",'⚙️ Rate Card'!C25,IF(P22="AWS QuickSight",'⚙️ Rate Card'!C27,IF(P22="Power BI",'⚙️ Rate Card'!C28,IF(P22="Custom Reporting Solution",'⚙️ Rate Card'!C26,0)))))+IF(B22="",0,'⚙️ Rate Card'!C33+(D22/100)*'⚙️ Rate Card'!C34))*'⚙️ Rate Card'!C37)*(1-'📊 Dashboard'!C10/100)+(((D22/100)*'⚙️ Rate Card'!C7+F22*'⚙️ Rate Card'!C9+G22*'⚙️ Rate Card'!C10+H22*'⚙️ Rate Card'!C11+I22*'⚙️ Rate Card'!C12+J22*'⚙️ Rate Card'!C13+K22*'⚙️ Rate Card'!C14+(D22/100)*'⚙️ Rate Card'!C8+(D22/100)*'⚙️ Rate Card'!C8))*(1-'📊 Dashboard'!C10/100)+(L22*IF(OR(O22="N/A",O22="None",O22=""),0,IF(O22="High",'⚙️ Rate Card'!C20,IF(O22="Medium",'⚙️ Rate Card'!C19,'⚙️ Rate Card'!C18))))*(1-'📊 Dashboard'!C11/100)+(M22*IF(OR(P22="Decommission",P22=""),'⚙️ Rate Card'!C29,IF(P22="EC2 (Lift &amp; Shift)",'⚙️ Rate Card'!C25,IF(P22="AWS QuickSight",'⚙️ Rate Card'!C27,IF(P22="Power BI",'⚙️ Rate Card'!C28,IF(P22="Custom Reporting Solution",'⚙️ Rate Card'!C26,0))))))*(1-'📊 Dashboard'!C12/100)+(IF(B22="",0,'⚙️ Rate Card'!C33+(D22/100)*'⚙️ Rate Card'!C34))*(1-'📊 Dashboard'!C10/100)+(((D22/100)*'⚙️ Rate Card'!C7+F22*'⚙️ Rate Card'!C9+G22*'⚙️ Rate Card'!C10+H22*'⚙️ Rate Card'!C11+I22*'⚙️ Rate Card'!C12+J22*'⚙️ Rate Card'!C13+K22*'⚙️ Rate Card'!C14+(D22/100)*'⚙️ Rate Card'!C8+L22*IF(OR(O22="N/A",O22="None",O22=""),0,IF(O22="High",'⚙️ Rate Card'!C20,IF(O22="Medium",'⚙️ Rate Card'!C19,'⚙️ Rate Card'!C18)))+M22*IF(OR(P22="Decommission",P22=""),'⚙️ Rate Card'!C29,IF(P22="EC2 (Lift &amp; Shift)",'⚙️ Rate Card'!C25,IF(P22="AWS QuickSight",'⚙️ Rate Card'!C27,IF(P22="Power BI",'⚙️ Rate Card'!C28,IF(P22="Custom Reporting Solution",'⚙️ Rate Card'!C26,0)))))+IF(B22="",0,'⚙️ Rate Card'!C33+(D22/100)*'⚙️ Rate Card'!C34))*'⚙️ Rate Card'!C35)*(1-'📊 Dashboard'!C13/100)+(((D22/100)*'⚙️ Rate Card'!C7+F22*'⚙️ Rate Card'!C9+G22*'⚙️ Rate Card'!C10+H22*'⚙️ Rate Card'!C11+I22*'⚙️ Rate Card'!C12+J22*'⚙️ Rate Card'!C13+K22*'⚙️ Rate Card'!C14+(D22/100)*'⚙️ Rate Card'!C8+L22*IF(OR(O22="N/A",O22="None",O22=""),0,IF(O22="High",'⚙️ Rate Card'!C20,IF(O22="Medium",'⚙️ Rate Card'!C19,'⚙️ Rate Card'!C18)))+M22*IF(OR(P22="Decommission",P22=""),'⚙️ Rate Card'!C29,IF(P22="EC2 (Lift &amp; Shift)",'⚙️ Rate Card'!C25,IF(P22="AWS QuickSight",'⚙️ Rate Card'!C27,IF(P22="Power BI",'⚙️ Rate Card'!C28,IF(P22="Custom Reporting Solution",'⚙️ Rate Card'!C26,0)))))+IF(B22="",0,'⚙️ Rate Card'!C33+(D22/100)*'⚙️ Rate Card'!C34))*'⚙️ Rate Card'!C36)*(1-'📊 Dashboard'!C10/100))</f>
        <v>0</v>
      </c>
      <c r="T22" s="35" t="n">
        <f aca="false">IF(B22="",0,S22*(1+'📊 Dashboard'!C14/100))</f>
        <v>0</v>
      </c>
      <c r="U22" s="36" t="n">
        <f aca="false">IF(B22="",0,((D22/100)*'⚙️ Rate Card'!C7+F22*'⚙️ Rate Card'!C9+G22*'⚙️ Rate Card'!C10+H22*'⚙️ Rate Card'!C11+I22*'⚙️ Rate Card'!C12+J22*'⚙️ Rate Card'!C13+K22*'⚙️ Rate Card'!C14+(D22/100)*'⚙️ Rate Card'!C8+L22*IF(OR(O22="N/A",O22="None",O22=""),0,IF(O22="High",'⚙️ Rate Card'!C20,IF(O22="Medium",'⚙️ Rate Card'!C19,'⚙️ Rate Card'!C18)))+M22*IF(OR(P22="Decommission",P22=""),'⚙️ Rate Card'!C29,IF(P22="EC2 (Lift &amp; Shift)",'⚙️ Rate Card'!C25,IF(P22="AWS QuickSight",'⚙️ Rate Card'!C27,IF(P22="Power BI",'⚙️ Rate Card'!C28,IF(P22="Custom Reporting Solution",'⚙️ Rate Card'!C26,0)))))+IF(B22="",0,'⚙️ Rate Card'!C33+(D22/100)*'⚙️ Rate Card'!C34))*'⚙️ Rate Card'!C37)</f>
        <v>0</v>
      </c>
      <c r="V22" s="36" t="n">
        <f aca="false">IF(B22="",0,(D22/100)*'⚙️ Rate Card'!C7+F22*'⚙️ Rate Card'!C9+G22*'⚙️ Rate Card'!C10+H22*'⚙️ Rate Card'!C11+I22*'⚙️ Rate Card'!C12+J22*'⚙️ Rate Card'!C13+K22*'⚙️ Rate Card'!C14+(D22/100)*'⚙️ Rate Card'!C8+(D22/100)*'⚙️ Rate Card'!C8)</f>
        <v>0</v>
      </c>
      <c r="W22" s="36" t="n">
        <f aca="false">IF(B22="",0,L22*IF(OR(O22="N/A",O22="None",O22=""),0,IF(O22="High",'⚙️ Rate Card'!C20,IF(O22="Medium",'⚙️ Rate Card'!C19,'⚙️ Rate Card'!C18))))</f>
        <v>0</v>
      </c>
      <c r="X22" s="36" t="n">
        <f aca="false">IF(B22="",0,M22*IF(OR(P22="Decommission",P22=""),'⚙️ Rate Card'!C29,IF(P22="EC2 (Lift &amp; Shift)",'⚙️ Rate Card'!C25,IF(P22="AWS QuickSight",'⚙️ Rate Card'!C27,IF(P22="Power BI",'⚙️ Rate Card'!C28,IF(P22="Custom Reporting Solution",'⚙️ Rate Card'!C26,0))))))</f>
        <v>0</v>
      </c>
      <c r="Y22" s="36" t="n">
        <f aca="false">IF(B22="",0,IF(B22="",0,'⚙️ Rate Card'!C33+(D22/100)*'⚙️ Rate Card'!C34))</f>
        <v>0</v>
      </c>
      <c r="Z22" s="36" t="n">
        <f aca="false">IF(B22="",0,((D22/100)*'⚙️ Rate Card'!C7+F22*'⚙️ Rate Card'!C9+G22*'⚙️ Rate Card'!C10+H22*'⚙️ Rate Card'!C11+I22*'⚙️ Rate Card'!C12+J22*'⚙️ Rate Card'!C13+K22*'⚙️ Rate Card'!C14+(D22/100)*'⚙️ Rate Card'!C8+L22*IF(OR(O22="N/A",O22="None",O22=""),0,IF(O22="High",'⚙️ Rate Card'!C20,IF(O22="Medium",'⚙️ Rate Card'!C19,'⚙️ Rate Card'!C18)))+M22*IF(OR(P22="Decommission",P22=""),'⚙️ Rate Card'!C29,IF(P22="EC2 (Lift &amp; Shift)",'⚙️ Rate Card'!C25,IF(P22="AWS QuickSight",'⚙️ Rate Card'!C27,IF(P22="Power BI",'⚙️ Rate Card'!C28,IF(P22="Custom Reporting Solution",'⚙️ Rate Card'!C26,0)))))+IF(B22="",0,'⚙️ Rate Card'!C33+(D22/100)*'⚙️ Rate Card'!C34))*'⚙️ Rate Card'!C35)</f>
        <v>0</v>
      </c>
      <c r="AA22" s="36" t="n">
        <f aca="false">IF(B22="",0,((D22/100)*'⚙️ Rate Card'!C7+F22*'⚙️ Rate Card'!C9+G22*'⚙️ Rate Card'!C10+H22*'⚙️ Rate Card'!C11+I22*'⚙️ Rate Card'!C12+J22*'⚙️ Rate Card'!C13+K22*'⚙️ Rate Card'!C14+(D22/100)*'⚙️ Rate Card'!C8+L22*IF(OR(O22="N/A",O22="None",O22=""),0,IF(O22="High",'⚙️ Rate Card'!C20,IF(O22="Medium",'⚙️ Rate Card'!C19,'⚙️ Rate Card'!C18)))+M22*IF(OR(P22="Decommission",P22=""),'⚙️ Rate Card'!C29,IF(P22="EC2 (Lift &amp; Shift)",'⚙️ Rate Card'!C25,IF(P22="AWS QuickSight",'⚙️ Rate Card'!C27,IF(P22="Power BI",'⚙️ Rate Card'!C28,IF(P22="Custom Reporting Solution",'⚙️ Rate Card'!C26,0)))))+IF(B22="",0,'⚙️ Rate Card'!C33+(D22/100)*'⚙️ Rate Card'!C34))*'⚙️ Rate Card'!C36)</f>
        <v>0</v>
      </c>
      <c r="AB22" s="37" t="n">
        <f aca="false">'✏️ SME Input'!T23</f>
        <v>0</v>
      </c>
      <c r="AC22" s="36" t="n">
        <f aca="false">IF(B22="",0,AB22*0.75)</f>
        <v>0</v>
      </c>
      <c r="AD22" s="36" t="n">
        <f aca="false">IF(B22="",0,AB22*0.75)</f>
        <v>0</v>
      </c>
      <c r="AE22" s="36" t="n">
        <f aca="false">IF(B22="",0,AB22*0.75)</f>
        <v>0</v>
      </c>
      <c r="AF22" s="36" t="n">
        <f aca="false">IF(B22="",0,AB22*2.25)</f>
        <v>0</v>
      </c>
      <c r="AG22" s="36" t="n">
        <f aca="false">IF(B22="",0,((D22/100)*'⚙️ Rate Card'!C7+F22*'⚙️ Rate Card'!C9+G22*'⚙️ Rate Card'!C10+H22*'⚙️ Rate Card'!C11+I22*'⚙️ Rate Card'!C12+J22*'⚙️ Rate Card'!C13+K22*'⚙️ Rate Card'!C14+(D22/100)*'⚙️ Rate Card'!C8)*0.4)</f>
        <v>0</v>
      </c>
      <c r="AH22" s="36" t="n">
        <f aca="false">IF(B22="",0,((D22/100)*'⚙️ Rate Card'!C7+F22*'⚙️ Rate Card'!C9+G22*'⚙️ Rate Card'!C10+H22*'⚙️ Rate Card'!C11+I22*'⚙️ Rate Card'!C12+J22*'⚙️ Rate Card'!C13+K22*'⚙️ Rate Card'!C14+(D22/100)*'⚙️ Rate Card'!C8)*0.4)</f>
        <v>0</v>
      </c>
      <c r="AI22" s="36" t="n">
        <f aca="false">IF(B22="",0,((D22/100)*'⚙️ Rate Card'!C7+F22*'⚙️ Rate Card'!C9+G22*'⚙️ Rate Card'!C10+H22*'⚙️ Rate Card'!C11+I22*'⚙️ Rate Card'!C12+J22*'⚙️ Rate Card'!C13+K22*'⚙️ Rate Card'!C14+(D22/100)*'⚙️ Rate Card'!C8)*0.2)</f>
        <v>0</v>
      </c>
      <c r="AJ22" s="36" t="n">
        <f aca="false">IF(B22="",0,(L22*IF(OR(O22="N/A",O22="None",O22=""),0,IF(O22="High",'⚙️ Rate Card'!C20,IF(O22="Medium",'⚙️ Rate Card'!C19,'⚙️ Rate Card'!C18))))*0.5)</f>
        <v>0</v>
      </c>
      <c r="AK22" s="36" t="n">
        <f aca="false">IF(B22="",0,(L22*IF(OR(O22="N/A",O22="None",O22=""),0,IF(O22="High",'⚙️ Rate Card'!C20,IF(O22="Medium",'⚙️ Rate Card'!C19,'⚙️ Rate Card'!C18))))*0.35)</f>
        <v>0</v>
      </c>
      <c r="AL22" s="36" t="n">
        <f aca="false">IF(B22="",0,(L22*IF(OR(O22="N/A",O22="None",O22=""),0,IF(O22="High",'⚙️ Rate Card'!C20,IF(O22="Medium",'⚙️ Rate Card'!C19,'⚙️ Rate Card'!C18))))*0.15)</f>
        <v>0</v>
      </c>
      <c r="AM22" s="35" t="n">
        <f aca="false">IF(B22="",0,AG22+AJ22+(M22*IF(OR(P22="Decommission",P22=""),'⚙️ Rate Card'!C29,IF(P22="EC2 (Lift &amp; Shift)",'⚙️ Rate Card'!C25,IF(P22="AWS QuickSight",'⚙️ Rate Card'!C27,IF(P22="Power BI",'⚙️ Rate Card'!C28,IF(P22="Custom Reporting Solution",'⚙️ Rate Card'!C26,0))))))*0.4+(IF(B22="",0,'⚙️ Rate Card'!C33+(D22/100)*'⚙️ Rate Card'!C34))*0.4+AC22+(((D22/100)*'⚙️ Rate Card'!C7+F22*'⚙️ Rate Card'!C9+G22*'⚙️ Rate Card'!C10+H22*'⚙️ Rate Card'!C11+I22*'⚙️ Rate Card'!C12+J22*'⚙️ Rate Card'!C13+K22*'⚙️ Rate Card'!C14+(D22/100)*'⚙️ Rate Card'!C8+L22*IF(OR(O22="N/A",O22="None",O22=""),0,IF(O22="High",'⚙️ Rate Card'!C20,IF(O22="Medium",'⚙️ Rate Card'!C19,'⚙️ Rate Card'!C18)))+M22*IF(OR(P22="Decommission",P22=""),'⚙️ Rate Card'!C29,IF(P22="EC2 (Lift &amp; Shift)",'⚙️ Rate Card'!C25,IF(P22="AWS QuickSight",'⚙️ Rate Card'!C27,IF(P22="Power BI",'⚙️ Rate Card'!C28,IF(P22="Custom Reporting Solution",'⚙️ Rate Card'!C26,0)))))+IF(B22="",0,'⚙️ Rate Card'!C33+(D22/100)*'⚙️ Rate Card'!C34)))*'⚙️ Rate Card'!C35*0.4+(((D22/100)*'⚙️ Rate Card'!C7+F22*'⚙️ Rate Card'!C9+G22*'⚙️ Rate Card'!C10+H22*'⚙️ Rate Card'!C11+I22*'⚙️ Rate Card'!C12+J22*'⚙️ Rate Card'!C13+K22*'⚙️ Rate Card'!C14+(D22/100)*'⚙️ Rate Card'!C8+L22*IF(OR(O22="N/A",O22="None",O22=""),0,IF(O22="High",'⚙️ Rate Card'!C20,IF(O22="Medium",'⚙️ Rate Card'!C19,'⚙️ Rate Card'!C18)))+M22*IF(OR(P22="Decommission",P22=""),'⚙️ Rate Card'!C29,IF(P22="EC2 (Lift &amp; Shift)",'⚙️ Rate Card'!C25,IF(P22="AWS QuickSight",'⚙️ Rate Card'!C27,IF(P22="Power BI",'⚙️ Rate Card'!C28,IF(P22="Custom Reporting Solution",'⚙️ Rate Card'!C26,0)))))+IF(B22="",0,'⚙️ Rate Card'!C33+(D22/100)*'⚙️ Rate Card'!C34)))*'⚙️ Rate Card'!C36*0.4+(((D22/100)*'⚙️ Rate Card'!C7+F22*'⚙️ Rate Card'!C9+G22*'⚙️ Rate Card'!C10+H22*'⚙️ Rate Card'!C11+I22*'⚙️ Rate Card'!C12+J22*'⚙️ Rate Card'!C13+K22*'⚙️ Rate Card'!C14+(D22/100)*'⚙️ Rate Card'!C8+L22*IF(OR(O22="N/A",O22="None",O22=""),0,IF(O22="High",'⚙️ Rate Card'!C20,IF(O22="Medium",'⚙️ Rate Card'!C19,'⚙️ Rate Card'!C18)))+M22*IF(OR(P22="Decommission",P22=""),'⚙️ Rate Card'!C29,IF(P22="EC2 (Lift &amp; Shift)",'⚙️ Rate Card'!C25,IF(P22="AWS QuickSight",'⚙️ Rate Card'!C27,IF(P22="Power BI",'⚙️ Rate Card'!C28,IF(P22="Custom Reporting Solution",'⚙️ Rate Card'!C26,0)))))+IF(B22="",0,'⚙️ Rate Card'!C33+(D22/100)*'⚙️ Rate Card'!C34)))*'⚙️ Rate Card'!C37*0.4)</f>
        <v>0</v>
      </c>
      <c r="AN22" s="38" t="n">
        <f aca="false">IF(B22="",0,AH22+AK22+(M22*IF(OR(P22="Decommission",P22=""),'⚙️ Rate Card'!C29,IF(P22="EC2 (Lift &amp; Shift)",'⚙️ Rate Card'!C25,IF(P22="AWS QuickSight",'⚙️ Rate Card'!C27,IF(P22="Power BI",'⚙️ Rate Card'!C28,IF(P22="Custom Reporting Solution",'⚙️ Rate Card'!C26,0))))))*0.4+(IF(B22="",0,'⚙️ Rate Card'!C33+(D22/100)*'⚙️ Rate Card'!C34))*0.4+AD22+(((D22/100)*'⚙️ Rate Card'!C7+F22*'⚙️ Rate Card'!C9+G22*'⚙️ Rate Card'!C10+H22*'⚙️ Rate Card'!C11+I22*'⚙️ Rate Card'!C12+J22*'⚙️ Rate Card'!C13+K22*'⚙️ Rate Card'!C14+(D22/100)*'⚙️ Rate Card'!C8+L22*IF(OR(O22="N/A",O22="None",O22=""),0,IF(O22="High",'⚙️ Rate Card'!C20,IF(O22="Medium",'⚙️ Rate Card'!C19,'⚙️ Rate Card'!C18)))+M22*IF(OR(P22="Decommission",P22=""),'⚙️ Rate Card'!C29,IF(P22="EC2 (Lift &amp; Shift)",'⚙️ Rate Card'!C25,IF(P22="AWS QuickSight",'⚙️ Rate Card'!C27,IF(P22="Power BI",'⚙️ Rate Card'!C28,IF(P22="Custom Reporting Solution",'⚙️ Rate Card'!C26,0)))))+IF(B22="",0,'⚙️ Rate Card'!C33+(D22/100)*'⚙️ Rate Card'!C34)))*'⚙️ Rate Card'!C35*0.4+(((D22/100)*'⚙️ Rate Card'!C7+F22*'⚙️ Rate Card'!C9+G22*'⚙️ Rate Card'!C10+H22*'⚙️ Rate Card'!C11+I22*'⚙️ Rate Card'!C12+J22*'⚙️ Rate Card'!C13+K22*'⚙️ Rate Card'!C14+(D22/100)*'⚙️ Rate Card'!C8+L22*IF(OR(O22="N/A",O22="None",O22=""),0,IF(O22="High",'⚙️ Rate Card'!C20,IF(O22="Medium",'⚙️ Rate Card'!C19,'⚙️ Rate Card'!C18)))+M22*IF(OR(P22="Decommission",P22=""),'⚙️ Rate Card'!C29,IF(P22="EC2 (Lift &amp; Shift)",'⚙️ Rate Card'!C25,IF(P22="AWS QuickSight",'⚙️ Rate Card'!C27,IF(P22="Power BI",'⚙️ Rate Card'!C28,IF(P22="Custom Reporting Solution",'⚙️ Rate Card'!C26,0)))))+IF(B22="",0,'⚙️ Rate Card'!C33+(D22/100)*'⚙️ Rate Card'!C34)))*'⚙️ Rate Card'!C36*0.4+(((D22/100)*'⚙️ Rate Card'!C7+F22*'⚙️ Rate Card'!C9+G22*'⚙️ Rate Card'!C10+H22*'⚙️ Rate Card'!C11+I22*'⚙️ Rate Card'!C12+J22*'⚙️ Rate Card'!C13+K22*'⚙️ Rate Card'!C14+(D22/100)*'⚙️ Rate Card'!C8+L22*IF(OR(O22="N/A",O22="None",O22=""),0,IF(O22="High",'⚙️ Rate Card'!C20,IF(O22="Medium",'⚙️ Rate Card'!C19,'⚙️ Rate Card'!C18)))+M22*IF(OR(P22="Decommission",P22=""),'⚙️ Rate Card'!C29,IF(P22="EC2 (Lift &amp; Shift)",'⚙️ Rate Card'!C25,IF(P22="AWS QuickSight",'⚙️ Rate Card'!C27,IF(P22="Power BI",'⚙️ Rate Card'!C28,IF(P22="Custom Reporting Solution",'⚙️ Rate Card'!C26,0)))))+IF(B22="",0,'⚙️ Rate Card'!C33+(D22/100)*'⚙️ Rate Card'!C34)))*'⚙️ Rate Card'!C37*0.4)</f>
        <v>0</v>
      </c>
      <c r="AO22" s="39" t="n">
        <f aca="false">IF(B22="",0,AI22+AL22+(M22*IF(OR(P22="Decommission",P22=""),'⚙️ Rate Card'!C29,IF(P22="EC2 (Lift &amp; Shift)",'⚙️ Rate Card'!C25,IF(P22="AWS QuickSight",'⚙️ Rate Card'!C27,IF(P22="Power BI",'⚙️ Rate Card'!C28,IF(P22="Custom Reporting Solution",'⚙️ Rate Card'!C26,0))))))*0.2+(IF(B22="",0,'⚙️ Rate Card'!C33+(D22/100)*'⚙️ Rate Card'!C34))*0.2+AE22+(((D22/100)*'⚙️ Rate Card'!C7+F22*'⚙️ Rate Card'!C9+G22*'⚙️ Rate Card'!C10+H22*'⚙️ Rate Card'!C11+I22*'⚙️ Rate Card'!C12+J22*'⚙️ Rate Card'!C13+K22*'⚙️ Rate Card'!C14+(D22/100)*'⚙️ Rate Card'!C8+L22*IF(OR(O22="N/A",O22="None",O22=""),0,IF(O22="High",'⚙️ Rate Card'!C20,IF(O22="Medium",'⚙️ Rate Card'!C19,'⚙️ Rate Card'!C18)))+M22*IF(OR(P22="Decommission",P22=""),'⚙️ Rate Card'!C29,IF(P22="EC2 (Lift &amp; Shift)",'⚙️ Rate Card'!C25,IF(P22="AWS QuickSight",'⚙️ Rate Card'!C27,IF(P22="Power BI",'⚙️ Rate Card'!C28,IF(P22="Custom Reporting Solution",'⚙️ Rate Card'!C26,0)))))+IF(B22="",0,'⚙️ Rate Card'!C33+(D22/100)*'⚙️ Rate Card'!C34)))*'⚙️ Rate Card'!C35*0.2+(((D22/100)*'⚙️ Rate Card'!C7+F22*'⚙️ Rate Card'!C9+G22*'⚙️ Rate Card'!C10+H22*'⚙️ Rate Card'!C11+I22*'⚙️ Rate Card'!C12+J22*'⚙️ Rate Card'!C13+K22*'⚙️ Rate Card'!C14+(D22/100)*'⚙️ Rate Card'!C8+L22*IF(OR(O22="N/A",O22="None",O22=""),0,IF(O22="High",'⚙️ Rate Card'!C20,IF(O22="Medium",'⚙️ Rate Card'!C19,'⚙️ Rate Card'!C18)))+M22*IF(OR(P22="Decommission",P22=""),'⚙️ Rate Card'!C29,IF(P22="EC2 (Lift &amp; Shift)",'⚙️ Rate Card'!C25,IF(P22="AWS QuickSight",'⚙️ Rate Card'!C27,IF(P22="Power BI",'⚙️ Rate Card'!C28,IF(P22="Custom Reporting Solution",'⚙️ Rate Card'!C26,0)))))+IF(B22="",0,'⚙️ Rate Card'!C33+(D22/100)*'⚙️ Rate Card'!C34)))*'⚙️ Rate Card'!C36*0.2+(((D22/100)*'⚙️ Rate Card'!C7+F22*'⚙️ Rate Card'!C9+G22*'⚙️ Rate Card'!C10+H22*'⚙️ Rate Card'!C11+I22*'⚙️ Rate Card'!C12+J22*'⚙️ Rate Card'!C13+K22*'⚙️ Rate Card'!C14+(D22/100)*'⚙️ Rate Card'!C8+L22*IF(OR(O22="N/A",O22="None",O22=""),0,IF(O22="High",'⚙️ Rate Card'!C20,IF(O22="Medium",'⚙️ Rate Card'!C19,'⚙️ Rate Card'!C18)))+M22*IF(OR(P22="Decommission",P22=""),'⚙️ Rate Card'!C29,IF(P22="EC2 (Lift &amp; Shift)",'⚙️ Rate Card'!C25,IF(P22="AWS QuickSight",'⚙️ Rate Card'!C27,IF(P22="Power BI",'⚙️ Rate Card'!C28,IF(P22="Custom Reporting Solution",'⚙️ Rate Card'!C26,0)))))+IF(B22="",0,'⚙️ Rate Card'!C33+(D22/100)*'⚙️ Rate Card'!C34)))*'⚙️ Rate Card'!C37*0.2)</f>
        <v>0</v>
      </c>
      <c r="AP22" s="37" t="n">
        <f aca="false">'✏️ SME Input'!B23</f>
        <v>0</v>
      </c>
      <c r="AQ22" s="37" t="n">
        <f aca="false">'✏️ SME Input'!C23</f>
        <v>0</v>
      </c>
      <c r="AR22" s="37" t="n">
        <f aca="false">'✏️ SME Input'!D23</f>
        <v>0</v>
      </c>
    </row>
    <row r="23" customFormat="false" ht="18" hidden="false" customHeight="true" outlineLevel="0" collapsed="false">
      <c r="B23" s="40" t="n">
        <f aca="false">'✏️ SME Input'!E24</f>
        <v>0</v>
      </c>
      <c r="C23" s="31" t="str">
        <f aca="false">IF(B23="","",IF(D23&gt;1000,"T3 Complex",IF(D23&gt;500,"T2 Moderate","T1 Simple")))</f>
        <v/>
      </c>
      <c r="D23" s="32" t="n">
        <f aca="false">'✏️ SME Input'!G24</f>
        <v>0</v>
      </c>
      <c r="E23" s="32" t="n">
        <f aca="false">'✏️ SME Input'!H24</f>
        <v>0</v>
      </c>
      <c r="F23" s="32" t="n">
        <f aca="false">'✏️ SME Input'!I24</f>
        <v>0</v>
      </c>
      <c r="G23" s="32" t="n">
        <f aca="false">'✏️ SME Input'!J24</f>
        <v>0</v>
      </c>
      <c r="H23" s="32" t="n">
        <f aca="false">'✏️ SME Input'!K24</f>
        <v>0</v>
      </c>
      <c r="I23" s="32" t="n">
        <f aca="false">'✏️ SME Input'!L24</f>
        <v>0</v>
      </c>
      <c r="J23" s="32" t="n">
        <f aca="false">'✏️ SME Input'!M24</f>
        <v>0</v>
      </c>
      <c r="K23" s="32" t="n">
        <f aca="false">'✏️ SME Input'!N24</f>
        <v>0</v>
      </c>
      <c r="L23" s="32" t="n">
        <f aca="false">'✏️ SME Input'!O24</f>
        <v>0</v>
      </c>
      <c r="M23" s="32" t="n">
        <f aca="false">'✏️ SME Input'!P24</f>
        <v>0</v>
      </c>
      <c r="N23" s="17" t="n">
        <f aca="false">'✏️ SME Input'!Q24</f>
        <v>0</v>
      </c>
      <c r="O23" s="33" t="n">
        <f aca="false">'✏️ SME Input'!R24</f>
        <v>0</v>
      </c>
      <c r="P23" s="33" t="n">
        <f aca="false">'✏️ SME Input'!S24</f>
        <v>0</v>
      </c>
      <c r="Q23" s="32" t="n">
        <f aca="false">'✏️ SME Input'!F24</f>
        <v>0</v>
      </c>
      <c r="R23" s="34" t="n">
        <f aca="false">IF(B23="",0,((D23/100)*'⚙️ Rate Card'!C7+F23*'⚙️ Rate Card'!C9+G23*'⚙️ Rate Card'!C10+H23*'⚙️ Rate Card'!C11+I23*'⚙️ Rate Card'!C12+J23*'⚙️ Rate Card'!C13+K23*'⚙️ Rate Card'!C14+(D23/100)*'⚙️ Rate Card'!C8+L23*IF(OR(O23="N/A",O23="None",O23=""),0,IF(O23="High",'⚙️ Rate Card'!C20,IF(O23="Medium",'⚙️ Rate Card'!C19,'⚙️ Rate Card'!C18)))+M23*IF(OR(P23="Decommission",P23=""),'⚙️ Rate Card'!C29,IF(P23="EC2 (Lift &amp; Shift)",'⚙️ Rate Card'!C25,IF(P23="AWS QuickSight",'⚙️ Rate Card'!C27,IF(P23="Power BI",'⚙️ Rate Card'!C28,IF(P23="Custom Reporting Solution",'⚙️ Rate Card'!C26,0)))))+IF(B23="",0,'⚙️ Rate Card'!C33+(D23/100)*'⚙️ Rate Card'!C34))*'⚙️ Rate Card'!C37+(D23/100)*'⚙️ Rate Card'!C7+F23*'⚙️ Rate Card'!C9+G23*'⚙️ Rate Card'!C10+H23*'⚙️ Rate Card'!C11+I23*'⚙️ Rate Card'!C12+J23*'⚙️ Rate Card'!C13+K23*'⚙️ Rate Card'!C14+(D23/100)*'⚙️ Rate Card'!C8+(D23/100)*'⚙️ Rate Card'!C8+L23*IF(OR(O23="N/A",O23="None",O23=""),0,IF(O23="High",'⚙️ Rate Card'!C20,IF(O23="Medium",'⚙️ Rate Card'!C19,'⚙️ Rate Card'!C18)))+M23*IF(OR(P23="Decommission",P23=""),'⚙️ Rate Card'!C29,IF(P23="EC2 (Lift &amp; Shift)",'⚙️ Rate Card'!C25,IF(P23="AWS QuickSight",'⚙️ Rate Card'!C27,IF(P23="Power BI",'⚙️ Rate Card'!C28,IF(P23="Custom Reporting Solution",'⚙️ Rate Card'!C26,0)))))+IF(B23="",0,'⚙️ Rate Card'!C33+(D23/100)*'⚙️ Rate Card'!C34)+((D23/100)*'⚙️ Rate Card'!C7+F23*'⚙️ Rate Card'!C9+G23*'⚙️ Rate Card'!C10+H23*'⚙️ Rate Card'!C11+I23*'⚙️ Rate Card'!C12+J23*'⚙️ Rate Card'!C13+K23*'⚙️ Rate Card'!C14+(D23/100)*'⚙️ Rate Card'!C8+L23*IF(OR(O23="N/A",O23="None",O23=""),0,IF(O23="High",'⚙️ Rate Card'!C20,IF(O23="Medium",'⚙️ Rate Card'!C19,'⚙️ Rate Card'!C18)))+M23*IF(OR(P23="Decommission",P23=""),'⚙️ Rate Card'!C29,IF(P23="EC2 (Lift &amp; Shift)",'⚙️ Rate Card'!C25,IF(P23="AWS QuickSight",'⚙️ Rate Card'!C27,IF(P23="Power BI",'⚙️ Rate Card'!C28,IF(P23="Custom Reporting Solution",'⚙️ Rate Card'!C26,0)))))+IF(B23="",0,'⚙️ Rate Card'!C33+(D23/100)*'⚙️ Rate Card'!C34))*'⚙️ Rate Card'!C35+((D23/100)*'⚙️ Rate Card'!C7+F23*'⚙️ Rate Card'!C9+G23*'⚙️ Rate Card'!C10+H23*'⚙️ Rate Card'!C11+I23*'⚙️ Rate Card'!C12+J23*'⚙️ Rate Card'!C13+K23*'⚙️ Rate Card'!C14+(D23/100)*'⚙️ Rate Card'!C8+L23*IF(OR(O23="N/A",O23="None",O23=""),0,IF(O23="High",'⚙️ Rate Card'!C20,IF(O23="Medium",'⚙️ Rate Card'!C19,'⚙️ Rate Card'!C18)))+M23*IF(OR(P23="Decommission",P23=""),'⚙️ Rate Card'!C29,IF(P23="EC2 (Lift &amp; Shift)",'⚙️ Rate Card'!C25,IF(P23="AWS QuickSight",'⚙️ Rate Card'!C27,IF(P23="Power BI",'⚙️ Rate Card'!C28,IF(P23="Custom Reporting Solution",'⚙️ Rate Card'!C26,0)))))+IF(B23="",0,'⚙️ Rate Card'!C33+(D23/100)*'⚙️ Rate Card'!C34))*'⚙️ Rate Card'!C36)</f>
        <v>0</v>
      </c>
      <c r="S23" s="34" t="n">
        <f aca="false">IF(B23="",0,(((D23/100)*'⚙️ Rate Card'!C7+F23*'⚙️ Rate Card'!C9+G23*'⚙️ Rate Card'!C10+H23*'⚙️ Rate Card'!C11+I23*'⚙️ Rate Card'!C12+J23*'⚙️ Rate Card'!C13+K23*'⚙️ Rate Card'!C14+(D23/100)*'⚙️ Rate Card'!C8+L23*IF(OR(O23="N/A",O23="None",O23=""),0,IF(O23="High",'⚙️ Rate Card'!C20,IF(O23="Medium",'⚙️ Rate Card'!C19,'⚙️ Rate Card'!C18)))+M23*IF(OR(P23="Decommission",P23=""),'⚙️ Rate Card'!C29,IF(P23="EC2 (Lift &amp; Shift)",'⚙️ Rate Card'!C25,IF(P23="AWS QuickSight",'⚙️ Rate Card'!C27,IF(P23="Power BI",'⚙️ Rate Card'!C28,IF(P23="Custom Reporting Solution",'⚙️ Rate Card'!C26,0)))))+IF(B23="",0,'⚙️ Rate Card'!C33+(D23/100)*'⚙️ Rate Card'!C34))*'⚙️ Rate Card'!C37)*(1-'📊 Dashboard'!C10/100)+(((D23/100)*'⚙️ Rate Card'!C7+F23*'⚙️ Rate Card'!C9+G23*'⚙️ Rate Card'!C10+H23*'⚙️ Rate Card'!C11+I23*'⚙️ Rate Card'!C12+J23*'⚙️ Rate Card'!C13+K23*'⚙️ Rate Card'!C14+(D23/100)*'⚙️ Rate Card'!C8+(D23/100)*'⚙️ Rate Card'!C8))*(1-'📊 Dashboard'!C10/100)+(L23*IF(OR(O23="N/A",O23="None",O23=""),0,IF(O23="High",'⚙️ Rate Card'!C20,IF(O23="Medium",'⚙️ Rate Card'!C19,'⚙️ Rate Card'!C18))))*(1-'📊 Dashboard'!C11/100)+(M23*IF(OR(P23="Decommission",P23=""),'⚙️ Rate Card'!C29,IF(P23="EC2 (Lift &amp; Shift)",'⚙️ Rate Card'!C25,IF(P23="AWS QuickSight",'⚙️ Rate Card'!C27,IF(P23="Power BI",'⚙️ Rate Card'!C28,IF(P23="Custom Reporting Solution",'⚙️ Rate Card'!C26,0))))))*(1-'📊 Dashboard'!C12/100)+(IF(B23="",0,'⚙️ Rate Card'!C33+(D23/100)*'⚙️ Rate Card'!C34))*(1-'📊 Dashboard'!C10/100)+(((D23/100)*'⚙️ Rate Card'!C7+F23*'⚙️ Rate Card'!C9+G23*'⚙️ Rate Card'!C10+H23*'⚙️ Rate Card'!C11+I23*'⚙️ Rate Card'!C12+J23*'⚙️ Rate Card'!C13+K23*'⚙️ Rate Card'!C14+(D23/100)*'⚙️ Rate Card'!C8+L23*IF(OR(O23="N/A",O23="None",O23=""),0,IF(O23="High",'⚙️ Rate Card'!C20,IF(O23="Medium",'⚙️ Rate Card'!C19,'⚙️ Rate Card'!C18)))+M23*IF(OR(P23="Decommission",P23=""),'⚙️ Rate Card'!C29,IF(P23="EC2 (Lift &amp; Shift)",'⚙️ Rate Card'!C25,IF(P23="AWS QuickSight",'⚙️ Rate Card'!C27,IF(P23="Power BI",'⚙️ Rate Card'!C28,IF(P23="Custom Reporting Solution",'⚙️ Rate Card'!C26,0)))))+IF(B23="",0,'⚙️ Rate Card'!C33+(D23/100)*'⚙️ Rate Card'!C34))*'⚙️ Rate Card'!C35)*(1-'📊 Dashboard'!C13/100)+(((D23/100)*'⚙️ Rate Card'!C7+F23*'⚙️ Rate Card'!C9+G23*'⚙️ Rate Card'!C10+H23*'⚙️ Rate Card'!C11+I23*'⚙️ Rate Card'!C12+J23*'⚙️ Rate Card'!C13+K23*'⚙️ Rate Card'!C14+(D23/100)*'⚙️ Rate Card'!C8+L23*IF(OR(O23="N/A",O23="None",O23=""),0,IF(O23="High",'⚙️ Rate Card'!C20,IF(O23="Medium",'⚙️ Rate Card'!C19,'⚙️ Rate Card'!C18)))+M23*IF(OR(P23="Decommission",P23=""),'⚙️ Rate Card'!C29,IF(P23="EC2 (Lift &amp; Shift)",'⚙️ Rate Card'!C25,IF(P23="AWS QuickSight",'⚙️ Rate Card'!C27,IF(P23="Power BI",'⚙️ Rate Card'!C28,IF(P23="Custom Reporting Solution",'⚙️ Rate Card'!C26,0)))))+IF(B23="",0,'⚙️ Rate Card'!C33+(D23/100)*'⚙️ Rate Card'!C34))*'⚙️ Rate Card'!C36)*(1-'📊 Dashboard'!C10/100))</f>
        <v>0</v>
      </c>
      <c r="T23" s="35" t="n">
        <f aca="false">IF(B23="",0,S23*(1+'📊 Dashboard'!C14/100))</f>
        <v>0</v>
      </c>
      <c r="U23" s="41" t="n">
        <f aca="false">IF(B23="",0,((D23/100)*'⚙️ Rate Card'!C7+F23*'⚙️ Rate Card'!C9+G23*'⚙️ Rate Card'!C10+H23*'⚙️ Rate Card'!C11+I23*'⚙️ Rate Card'!C12+J23*'⚙️ Rate Card'!C13+K23*'⚙️ Rate Card'!C14+(D23/100)*'⚙️ Rate Card'!C8+L23*IF(OR(O23="N/A",O23="None",O23=""),0,IF(O23="High",'⚙️ Rate Card'!C20,IF(O23="Medium",'⚙️ Rate Card'!C19,'⚙️ Rate Card'!C18)))+M23*IF(OR(P23="Decommission",P23=""),'⚙️ Rate Card'!C29,IF(P23="EC2 (Lift &amp; Shift)",'⚙️ Rate Card'!C25,IF(P23="AWS QuickSight",'⚙️ Rate Card'!C27,IF(P23="Power BI",'⚙️ Rate Card'!C28,IF(P23="Custom Reporting Solution",'⚙️ Rate Card'!C26,0)))))+IF(B23="",0,'⚙️ Rate Card'!C33+(D23/100)*'⚙️ Rate Card'!C34))*'⚙️ Rate Card'!C37)</f>
        <v>0</v>
      </c>
      <c r="V23" s="41" t="n">
        <f aca="false">IF(B23="",0,(D23/100)*'⚙️ Rate Card'!C7+F23*'⚙️ Rate Card'!C9+G23*'⚙️ Rate Card'!C10+H23*'⚙️ Rate Card'!C11+I23*'⚙️ Rate Card'!C12+J23*'⚙️ Rate Card'!C13+K23*'⚙️ Rate Card'!C14+(D23/100)*'⚙️ Rate Card'!C8+(D23/100)*'⚙️ Rate Card'!C8)</f>
        <v>0</v>
      </c>
      <c r="W23" s="41" t="n">
        <f aca="false">IF(B23="",0,L23*IF(OR(O23="N/A",O23="None",O23=""),0,IF(O23="High",'⚙️ Rate Card'!C20,IF(O23="Medium",'⚙️ Rate Card'!C19,'⚙️ Rate Card'!C18))))</f>
        <v>0</v>
      </c>
      <c r="X23" s="41" t="n">
        <f aca="false">IF(B23="",0,M23*IF(OR(P23="Decommission",P23=""),'⚙️ Rate Card'!C29,IF(P23="EC2 (Lift &amp; Shift)",'⚙️ Rate Card'!C25,IF(P23="AWS QuickSight",'⚙️ Rate Card'!C27,IF(P23="Power BI",'⚙️ Rate Card'!C28,IF(P23="Custom Reporting Solution",'⚙️ Rate Card'!C26,0))))))</f>
        <v>0</v>
      </c>
      <c r="Y23" s="41" t="n">
        <f aca="false">IF(B23="",0,IF(B23="",0,'⚙️ Rate Card'!C33+(D23/100)*'⚙️ Rate Card'!C34))</f>
        <v>0</v>
      </c>
      <c r="Z23" s="41" t="n">
        <f aca="false">IF(B23="",0,((D23/100)*'⚙️ Rate Card'!C7+F23*'⚙️ Rate Card'!C9+G23*'⚙️ Rate Card'!C10+H23*'⚙️ Rate Card'!C11+I23*'⚙️ Rate Card'!C12+J23*'⚙️ Rate Card'!C13+K23*'⚙️ Rate Card'!C14+(D23/100)*'⚙️ Rate Card'!C8+L23*IF(OR(O23="N/A",O23="None",O23=""),0,IF(O23="High",'⚙️ Rate Card'!C20,IF(O23="Medium",'⚙️ Rate Card'!C19,'⚙️ Rate Card'!C18)))+M23*IF(OR(P23="Decommission",P23=""),'⚙️ Rate Card'!C29,IF(P23="EC2 (Lift &amp; Shift)",'⚙️ Rate Card'!C25,IF(P23="AWS QuickSight",'⚙️ Rate Card'!C27,IF(P23="Power BI",'⚙️ Rate Card'!C28,IF(P23="Custom Reporting Solution",'⚙️ Rate Card'!C26,0)))))+IF(B23="",0,'⚙️ Rate Card'!C33+(D23/100)*'⚙️ Rate Card'!C34))*'⚙️ Rate Card'!C35)</f>
        <v>0</v>
      </c>
      <c r="AA23" s="41" t="n">
        <f aca="false">IF(B23="",0,((D23/100)*'⚙️ Rate Card'!C7+F23*'⚙️ Rate Card'!C9+G23*'⚙️ Rate Card'!C10+H23*'⚙️ Rate Card'!C11+I23*'⚙️ Rate Card'!C12+J23*'⚙️ Rate Card'!C13+K23*'⚙️ Rate Card'!C14+(D23/100)*'⚙️ Rate Card'!C8+L23*IF(OR(O23="N/A",O23="None",O23=""),0,IF(O23="High",'⚙️ Rate Card'!C20,IF(O23="Medium",'⚙️ Rate Card'!C19,'⚙️ Rate Card'!C18)))+M23*IF(OR(P23="Decommission",P23=""),'⚙️ Rate Card'!C29,IF(P23="EC2 (Lift &amp; Shift)",'⚙️ Rate Card'!C25,IF(P23="AWS QuickSight",'⚙️ Rate Card'!C27,IF(P23="Power BI",'⚙️ Rate Card'!C28,IF(P23="Custom Reporting Solution",'⚙️ Rate Card'!C26,0)))))+IF(B23="",0,'⚙️ Rate Card'!C33+(D23/100)*'⚙️ Rate Card'!C34))*'⚙️ Rate Card'!C36)</f>
        <v>0</v>
      </c>
      <c r="AB23" s="37" t="n">
        <f aca="false">'✏️ SME Input'!T24</f>
        <v>0</v>
      </c>
      <c r="AC23" s="41" t="n">
        <f aca="false">IF(B23="",0,AB23*0.75)</f>
        <v>0</v>
      </c>
      <c r="AD23" s="41" t="n">
        <f aca="false">IF(B23="",0,AB23*0.75)</f>
        <v>0</v>
      </c>
      <c r="AE23" s="41" t="n">
        <f aca="false">IF(B23="",0,AB23*0.75)</f>
        <v>0</v>
      </c>
      <c r="AF23" s="41" t="n">
        <f aca="false">IF(B23="",0,AB23*2.25)</f>
        <v>0</v>
      </c>
      <c r="AG23" s="41" t="n">
        <f aca="false">IF(B23="",0,((D23/100)*'⚙️ Rate Card'!C7+F23*'⚙️ Rate Card'!C9+G23*'⚙️ Rate Card'!C10+H23*'⚙️ Rate Card'!C11+I23*'⚙️ Rate Card'!C12+J23*'⚙️ Rate Card'!C13+K23*'⚙️ Rate Card'!C14+(D23/100)*'⚙️ Rate Card'!C8)*0.4)</f>
        <v>0</v>
      </c>
      <c r="AH23" s="41" t="n">
        <f aca="false">IF(B23="",0,((D23/100)*'⚙️ Rate Card'!C7+F23*'⚙️ Rate Card'!C9+G23*'⚙️ Rate Card'!C10+H23*'⚙️ Rate Card'!C11+I23*'⚙️ Rate Card'!C12+J23*'⚙️ Rate Card'!C13+K23*'⚙️ Rate Card'!C14+(D23/100)*'⚙️ Rate Card'!C8)*0.4)</f>
        <v>0</v>
      </c>
      <c r="AI23" s="41" t="n">
        <f aca="false">IF(B23="",0,((D23/100)*'⚙️ Rate Card'!C7+F23*'⚙️ Rate Card'!C9+G23*'⚙️ Rate Card'!C10+H23*'⚙️ Rate Card'!C11+I23*'⚙️ Rate Card'!C12+J23*'⚙️ Rate Card'!C13+K23*'⚙️ Rate Card'!C14+(D23/100)*'⚙️ Rate Card'!C8)*0.2)</f>
        <v>0</v>
      </c>
      <c r="AJ23" s="41" t="n">
        <f aca="false">IF(B23="",0,(L23*IF(OR(O23="N/A",O23="None",O23=""),0,IF(O23="High",'⚙️ Rate Card'!C20,IF(O23="Medium",'⚙️ Rate Card'!C19,'⚙️ Rate Card'!C18))))*0.5)</f>
        <v>0</v>
      </c>
      <c r="AK23" s="41" t="n">
        <f aca="false">IF(B23="",0,(L23*IF(OR(O23="N/A",O23="None",O23=""),0,IF(O23="High",'⚙️ Rate Card'!C20,IF(O23="Medium",'⚙️ Rate Card'!C19,'⚙️ Rate Card'!C18))))*0.35)</f>
        <v>0</v>
      </c>
      <c r="AL23" s="41" t="n">
        <f aca="false">IF(B23="",0,(L23*IF(OR(O23="N/A",O23="None",O23=""),0,IF(O23="High",'⚙️ Rate Card'!C20,IF(O23="Medium",'⚙️ Rate Card'!C19,'⚙️ Rate Card'!C18))))*0.15)</f>
        <v>0</v>
      </c>
      <c r="AM23" s="35" t="n">
        <f aca="false">IF(B23="",0,AG23+AJ23+(M23*IF(OR(P23="Decommission",P23=""),'⚙️ Rate Card'!C29,IF(P23="EC2 (Lift &amp; Shift)",'⚙️ Rate Card'!C25,IF(P23="AWS QuickSight",'⚙️ Rate Card'!C27,IF(P23="Power BI",'⚙️ Rate Card'!C28,IF(P23="Custom Reporting Solution",'⚙️ Rate Card'!C26,0))))))*0.4+(IF(B23="",0,'⚙️ Rate Card'!C33+(D23/100)*'⚙️ Rate Card'!C34))*0.4+AC23+(((D23/100)*'⚙️ Rate Card'!C7+F23*'⚙️ Rate Card'!C9+G23*'⚙️ Rate Card'!C10+H23*'⚙️ Rate Card'!C11+I23*'⚙️ Rate Card'!C12+J23*'⚙️ Rate Card'!C13+K23*'⚙️ Rate Card'!C14+(D23/100)*'⚙️ Rate Card'!C8+L23*IF(OR(O23="N/A",O23="None",O23=""),0,IF(O23="High",'⚙️ Rate Card'!C20,IF(O23="Medium",'⚙️ Rate Card'!C19,'⚙️ Rate Card'!C18)))+M23*IF(OR(P23="Decommission",P23=""),'⚙️ Rate Card'!C29,IF(P23="EC2 (Lift &amp; Shift)",'⚙️ Rate Card'!C25,IF(P23="AWS QuickSight",'⚙️ Rate Card'!C27,IF(P23="Power BI",'⚙️ Rate Card'!C28,IF(P23="Custom Reporting Solution",'⚙️ Rate Card'!C26,0)))))+IF(B23="",0,'⚙️ Rate Card'!C33+(D23/100)*'⚙️ Rate Card'!C34)))*'⚙️ Rate Card'!C35*0.4+(((D23/100)*'⚙️ Rate Card'!C7+F23*'⚙️ Rate Card'!C9+G23*'⚙️ Rate Card'!C10+H23*'⚙️ Rate Card'!C11+I23*'⚙️ Rate Card'!C12+J23*'⚙️ Rate Card'!C13+K23*'⚙️ Rate Card'!C14+(D23/100)*'⚙️ Rate Card'!C8+L23*IF(OR(O23="N/A",O23="None",O23=""),0,IF(O23="High",'⚙️ Rate Card'!C20,IF(O23="Medium",'⚙️ Rate Card'!C19,'⚙️ Rate Card'!C18)))+M23*IF(OR(P23="Decommission",P23=""),'⚙️ Rate Card'!C29,IF(P23="EC2 (Lift &amp; Shift)",'⚙️ Rate Card'!C25,IF(P23="AWS QuickSight",'⚙️ Rate Card'!C27,IF(P23="Power BI",'⚙️ Rate Card'!C28,IF(P23="Custom Reporting Solution",'⚙️ Rate Card'!C26,0)))))+IF(B23="",0,'⚙️ Rate Card'!C33+(D23/100)*'⚙️ Rate Card'!C34)))*'⚙️ Rate Card'!C36*0.4+(((D23/100)*'⚙️ Rate Card'!C7+F23*'⚙️ Rate Card'!C9+G23*'⚙️ Rate Card'!C10+H23*'⚙️ Rate Card'!C11+I23*'⚙️ Rate Card'!C12+J23*'⚙️ Rate Card'!C13+K23*'⚙️ Rate Card'!C14+(D23/100)*'⚙️ Rate Card'!C8+L23*IF(OR(O23="N/A",O23="None",O23=""),0,IF(O23="High",'⚙️ Rate Card'!C20,IF(O23="Medium",'⚙️ Rate Card'!C19,'⚙️ Rate Card'!C18)))+M23*IF(OR(P23="Decommission",P23=""),'⚙️ Rate Card'!C29,IF(P23="EC2 (Lift &amp; Shift)",'⚙️ Rate Card'!C25,IF(P23="AWS QuickSight",'⚙️ Rate Card'!C27,IF(P23="Power BI",'⚙️ Rate Card'!C28,IF(P23="Custom Reporting Solution",'⚙️ Rate Card'!C26,0)))))+IF(B23="",0,'⚙️ Rate Card'!C33+(D23/100)*'⚙️ Rate Card'!C34)))*'⚙️ Rate Card'!C37*0.4)</f>
        <v>0</v>
      </c>
      <c r="AN23" s="38" t="n">
        <f aca="false">IF(B23="",0,AH23+AK23+(M23*IF(OR(P23="Decommission",P23=""),'⚙️ Rate Card'!C29,IF(P23="EC2 (Lift &amp; Shift)",'⚙️ Rate Card'!C25,IF(P23="AWS QuickSight",'⚙️ Rate Card'!C27,IF(P23="Power BI",'⚙️ Rate Card'!C28,IF(P23="Custom Reporting Solution",'⚙️ Rate Card'!C26,0))))))*0.4+(IF(B23="",0,'⚙️ Rate Card'!C33+(D23/100)*'⚙️ Rate Card'!C34))*0.4+AD23+(((D23/100)*'⚙️ Rate Card'!C7+F23*'⚙️ Rate Card'!C9+G23*'⚙️ Rate Card'!C10+H23*'⚙️ Rate Card'!C11+I23*'⚙️ Rate Card'!C12+J23*'⚙️ Rate Card'!C13+K23*'⚙️ Rate Card'!C14+(D23/100)*'⚙️ Rate Card'!C8+L23*IF(OR(O23="N/A",O23="None",O23=""),0,IF(O23="High",'⚙️ Rate Card'!C20,IF(O23="Medium",'⚙️ Rate Card'!C19,'⚙️ Rate Card'!C18)))+M23*IF(OR(P23="Decommission",P23=""),'⚙️ Rate Card'!C29,IF(P23="EC2 (Lift &amp; Shift)",'⚙️ Rate Card'!C25,IF(P23="AWS QuickSight",'⚙️ Rate Card'!C27,IF(P23="Power BI",'⚙️ Rate Card'!C28,IF(P23="Custom Reporting Solution",'⚙️ Rate Card'!C26,0)))))+IF(B23="",0,'⚙️ Rate Card'!C33+(D23/100)*'⚙️ Rate Card'!C34)))*'⚙️ Rate Card'!C35*0.4+(((D23/100)*'⚙️ Rate Card'!C7+F23*'⚙️ Rate Card'!C9+G23*'⚙️ Rate Card'!C10+H23*'⚙️ Rate Card'!C11+I23*'⚙️ Rate Card'!C12+J23*'⚙️ Rate Card'!C13+K23*'⚙️ Rate Card'!C14+(D23/100)*'⚙️ Rate Card'!C8+L23*IF(OR(O23="N/A",O23="None",O23=""),0,IF(O23="High",'⚙️ Rate Card'!C20,IF(O23="Medium",'⚙️ Rate Card'!C19,'⚙️ Rate Card'!C18)))+M23*IF(OR(P23="Decommission",P23=""),'⚙️ Rate Card'!C29,IF(P23="EC2 (Lift &amp; Shift)",'⚙️ Rate Card'!C25,IF(P23="AWS QuickSight",'⚙️ Rate Card'!C27,IF(P23="Power BI",'⚙️ Rate Card'!C28,IF(P23="Custom Reporting Solution",'⚙️ Rate Card'!C26,0)))))+IF(B23="",0,'⚙️ Rate Card'!C33+(D23/100)*'⚙️ Rate Card'!C34)))*'⚙️ Rate Card'!C36*0.4+(((D23/100)*'⚙️ Rate Card'!C7+F23*'⚙️ Rate Card'!C9+G23*'⚙️ Rate Card'!C10+H23*'⚙️ Rate Card'!C11+I23*'⚙️ Rate Card'!C12+J23*'⚙️ Rate Card'!C13+K23*'⚙️ Rate Card'!C14+(D23/100)*'⚙️ Rate Card'!C8+L23*IF(OR(O23="N/A",O23="None",O23=""),0,IF(O23="High",'⚙️ Rate Card'!C20,IF(O23="Medium",'⚙️ Rate Card'!C19,'⚙️ Rate Card'!C18)))+M23*IF(OR(P23="Decommission",P23=""),'⚙️ Rate Card'!C29,IF(P23="EC2 (Lift &amp; Shift)",'⚙️ Rate Card'!C25,IF(P23="AWS QuickSight",'⚙️ Rate Card'!C27,IF(P23="Power BI",'⚙️ Rate Card'!C28,IF(P23="Custom Reporting Solution",'⚙️ Rate Card'!C26,0)))))+IF(B23="",0,'⚙️ Rate Card'!C33+(D23/100)*'⚙️ Rate Card'!C34)))*'⚙️ Rate Card'!C37*0.4)</f>
        <v>0</v>
      </c>
      <c r="AO23" s="39" t="n">
        <f aca="false">IF(B23="",0,AI23+AL23+(M23*IF(OR(P23="Decommission",P23=""),'⚙️ Rate Card'!C29,IF(P23="EC2 (Lift &amp; Shift)",'⚙️ Rate Card'!C25,IF(P23="AWS QuickSight",'⚙️ Rate Card'!C27,IF(P23="Power BI",'⚙️ Rate Card'!C28,IF(P23="Custom Reporting Solution",'⚙️ Rate Card'!C26,0))))))*0.2+(IF(B23="",0,'⚙️ Rate Card'!C33+(D23/100)*'⚙️ Rate Card'!C34))*0.2+AE23+(((D23/100)*'⚙️ Rate Card'!C7+F23*'⚙️ Rate Card'!C9+G23*'⚙️ Rate Card'!C10+H23*'⚙️ Rate Card'!C11+I23*'⚙️ Rate Card'!C12+J23*'⚙️ Rate Card'!C13+K23*'⚙️ Rate Card'!C14+(D23/100)*'⚙️ Rate Card'!C8+L23*IF(OR(O23="N/A",O23="None",O23=""),0,IF(O23="High",'⚙️ Rate Card'!C20,IF(O23="Medium",'⚙️ Rate Card'!C19,'⚙️ Rate Card'!C18)))+M23*IF(OR(P23="Decommission",P23=""),'⚙️ Rate Card'!C29,IF(P23="EC2 (Lift &amp; Shift)",'⚙️ Rate Card'!C25,IF(P23="AWS QuickSight",'⚙️ Rate Card'!C27,IF(P23="Power BI",'⚙️ Rate Card'!C28,IF(P23="Custom Reporting Solution",'⚙️ Rate Card'!C26,0)))))+IF(B23="",0,'⚙️ Rate Card'!C33+(D23/100)*'⚙️ Rate Card'!C34)))*'⚙️ Rate Card'!C35*0.2+(((D23/100)*'⚙️ Rate Card'!C7+F23*'⚙️ Rate Card'!C9+G23*'⚙️ Rate Card'!C10+H23*'⚙️ Rate Card'!C11+I23*'⚙️ Rate Card'!C12+J23*'⚙️ Rate Card'!C13+K23*'⚙️ Rate Card'!C14+(D23/100)*'⚙️ Rate Card'!C8+L23*IF(OR(O23="N/A",O23="None",O23=""),0,IF(O23="High",'⚙️ Rate Card'!C20,IF(O23="Medium",'⚙️ Rate Card'!C19,'⚙️ Rate Card'!C18)))+M23*IF(OR(P23="Decommission",P23=""),'⚙️ Rate Card'!C29,IF(P23="EC2 (Lift &amp; Shift)",'⚙️ Rate Card'!C25,IF(P23="AWS QuickSight",'⚙️ Rate Card'!C27,IF(P23="Power BI",'⚙️ Rate Card'!C28,IF(P23="Custom Reporting Solution",'⚙️ Rate Card'!C26,0)))))+IF(B23="",0,'⚙️ Rate Card'!C33+(D23/100)*'⚙️ Rate Card'!C34)))*'⚙️ Rate Card'!C36*0.2+(((D23/100)*'⚙️ Rate Card'!C7+F23*'⚙️ Rate Card'!C9+G23*'⚙️ Rate Card'!C10+H23*'⚙️ Rate Card'!C11+I23*'⚙️ Rate Card'!C12+J23*'⚙️ Rate Card'!C13+K23*'⚙️ Rate Card'!C14+(D23/100)*'⚙️ Rate Card'!C8+L23*IF(OR(O23="N/A",O23="None",O23=""),0,IF(O23="High",'⚙️ Rate Card'!C20,IF(O23="Medium",'⚙️ Rate Card'!C19,'⚙️ Rate Card'!C18)))+M23*IF(OR(P23="Decommission",P23=""),'⚙️ Rate Card'!C29,IF(P23="EC2 (Lift &amp; Shift)",'⚙️ Rate Card'!C25,IF(P23="AWS QuickSight",'⚙️ Rate Card'!C27,IF(P23="Power BI",'⚙️ Rate Card'!C28,IF(P23="Custom Reporting Solution",'⚙️ Rate Card'!C26,0)))))+IF(B23="",0,'⚙️ Rate Card'!C33+(D23/100)*'⚙️ Rate Card'!C34)))*'⚙️ Rate Card'!C37*0.2)</f>
        <v>0</v>
      </c>
      <c r="AP23" s="42" t="n">
        <f aca="false">'✏️ SME Input'!B24</f>
        <v>0</v>
      </c>
      <c r="AQ23" s="42" t="n">
        <f aca="false">'✏️ SME Input'!C24</f>
        <v>0</v>
      </c>
      <c r="AR23" s="42" t="n">
        <f aca="false">'✏️ SME Input'!D24</f>
        <v>0</v>
      </c>
    </row>
    <row r="24" customFormat="false" ht="18" hidden="false" customHeight="true" outlineLevel="0" collapsed="false">
      <c r="B24" s="30" t="n">
        <f aca="false">'✏️ SME Input'!E25</f>
        <v>0</v>
      </c>
      <c r="C24" s="31" t="str">
        <f aca="false">IF(B24="","",IF(D24&gt;1000,"T3 Complex",IF(D24&gt;500,"T2 Moderate","T1 Simple")))</f>
        <v/>
      </c>
      <c r="D24" s="32" t="n">
        <f aca="false">'✏️ SME Input'!G25</f>
        <v>0</v>
      </c>
      <c r="E24" s="32" t="n">
        <f aca="false">'✏️ SME Input'!H25</f>
        <v>0</v>
      </c>
      <c r="F24" s="32" t="n">
        <f aca="false">'✏️ SME Input'!I25</f>
        <v>0</v>
      </c>
      <c r="G24" s="32" t="n">
        <f aca="false">'✏️ SME Input'!J25</f>
        <v>0</v>
      </c>
      <c r="H24" s="32" t="n">
        <f aca="false">'✏️ SME Input'!K25</f>
        <v>0</v>
      </c>
      <c r="I24" s="32" t="n">
        <f aca="false">'✏️ SME Input'!L25</f>
        <v>0</v>
      </c>
      <c r="J24" s="32" t="n">
        <f aca="false">'✏️ SME Input'!M25</f>
        <v>0</v>
      </c>
      <c r="K24" s="32" t="n">
        <f aca="false">'✏️ SME Input'!N25</f>
        <v>0</v>
      </c>
      <c r="L24" s="32" t="n">
        <f aca="false">'✏️ SME Input'!O25</f>
        <v>0</v>
      </c>
      <c r="M24" s="32" t="n">
        <f aca="false">'✏️ SME Input'!P25</f>
        <v>0</v>
      </c>
      <c r="N24" s="17" t="n">
        <f aca="false">'✏️ SME Input'!Q25</f>
        <v>0</v>
      </c>
      <c r="O24" s="33" t="n">
        <f aca="false">'✏️ SME Input'!R25</f>
        <v>0</v>
      </c>
      <c r="P24" s="33" t="n">
        <f aca="false">'✏️ SME Input'!S25</f>
        <v>0</v>
      </c>
      <c r="Q24" s="32" t="n">
        <f aca="false">'✏️ SME Input'!F25</f>
        <v>0</v>
      </c>
      <c r="R24" s="34" t="n">
        <f aca="false">IF(B24="",0,((D24/100)*'⚙️ Rate Card'!C7+F24*'⚙️ Rate Card'!C9+G24*'⚙️ Rate Card'!C10+H24*'⚙️ Rate Card'!C11+I24*'⚙️ Rate Card'!C12+J24*'⚙️ Rate Card'!C13+K24*'⚙️ Rate Card'!C14+(D24/100)*'⚙️ Rate Card'!C8+L24*IF(OR(O24="N/A",O24="None",O24=""),0,IF(O24="High",'⚙️ Rate Card'!C20,IF(O24="Medium",'⚙️ Rate Card'!C19,'⚙️ Rate Card'!C18)))+M24*IF(OR(P24="Decommission",P24=""),'⚙️ Rate Card'!C29,IF(P24="EC2 (Lift &amp; Shift)",'⚙️ Rate Card'!C25,IF(P24="AWS QuickSight",'⚙️ Rate Card'!C27,IF(P24="Power BI",'⚙️ Rate Card'!C28,IF(P24="Custom Reporting Solution",'⚙️ Rate Card'!C26,0)))))+IF(B24="",0,'⚙️ Rate Card'!C33+(D24/100)*'⚙️ Rate Card'!C34))*'⚙️ Rate Card'!C37+(D24/100)*'⚙️ Rate Card'!C7+F24*'⚙️ Rate Card'!C9+G24*'⚙️ Rate Card'!C10+H24*'⚙️ Rate Card'!C11+I24*'⚙️ Rate Card'!C12+J24*'⚙️ Rate Card'!C13+K24*'⚙️ Rate Card'!C14+(D24/100)*'⚙️ Rate Card'!C8+(D24/100)*'⚙️ Rate Card'!C8+L24*IF(OR(O24="N/A",O24="None",O24=""),0,IF(O24="High",'⚙️ Rate Card'!C20,IF(O24="Medium",'⚙️ Rate Card'!C19,'⚙️ Rate Card'!C18)))+M24*IF(OR(P24="Decommission",P24=""),'⚙️ Rate Card'!C29,IF(P24="EC2 (Lift &amp; Shift)",'⚙️ Rate Card'!C25,IF(P24="AWS QuickSight",'⚙️ Rate Card'!C27,IF(P24="Power BI",'⚙️ Rate Card'!C28,IF(P24="Custom Reporting Solution",'⚙️ Rate Card'!C26,0)))))+IF(B24="",0,'⚙️ Rate Card'!C33+(D24/100)*'⚙️ Rate Card'!C34)+((D24/100)*'⚙️ Rate Card'!C7+F24*'⚙️ Rate Card'!C9+G24*'⚙️ Rate Card'!C10+H24*'⚙️ Rate Card'!C11+I24*'⚙️ Rate Card'!C12+J24*'⚙️ Rate Card'!C13+K24*'⚙️ Rate Card'!C14+(D24/100)*'⚙️ Rate Card'!C8+L24*IF(OR(O24="N/A",O24="None",O24=""),0,IF(O24="High",'⚙️ Rate Card'!C20,IF(O24="Medium",'⚙️ Rate Card'!C19,'⚙️ Rate Card'!C18)))+M24*IF(OR(P24="Decommission",P24=""),'⚙️ Rate Card'!C29,IF(P24="EC2 (Lift &amp; Shift)",'⚙️ Rate Card'!C25,IF(P24="AWS QuickSight",'⚙️ Rate Card'!C27,IF(P24="Power BI",'⚙️ Rate Card'!C28,IF(P24="Custom Reporting Solution",'⚙️ Rate Card'!C26,0)))))+IF(B24="",0,'⚙️ Rate Card'!C33+(D24/100)*'⚙️ Rate Card'!C34))*'⚙️ Rate Card'!C35+((D24/100)*'⚙️ Rate Card'!C7+F24*'⚙️ Rate Card'!C9+G24*'⚙️ Rate Card'!C10+H24*'⚙️ Rate Card'!C11+I24*'⚙️ Rate Card'!C12+J24*'⚙️ Rate Card'!C13+K24*'⚙️ Rate Card'!C14+(D24/100)*'⚙️ Rate Card'!C8+L24*IF(OR(O24="N/A",O24="None",O24=""),0,IF(O24="High",'⚙️ Rate Card'!C20,IF(O24="Medium",'⚙️ Rate Card'!C19,'⚙️ Rate Card'!C18)))+M24*IF(OR(P24="Decommission",P24=""),'⚙️ Rate Card'!C29,IF(P24="EC2 (Lift &amp; Shift)",'⚙️ Rate Card'!C25,IF(P24="AWS QuickSight",'⚙️ Rate Card'!C27,IF(P24="Power BI",'⚙️ Rate Card'!C28,IF(P24="Custom Reporting Solution",'⚙️ Rate Card'!C26,0)))))+IF(B24="",0,'⚙️ Rate Card'!C33+(D24/100)*'⚙️ Rate Card'!C34))*'⚙️ Rate Card'!C36)</f>
        <v>0</v>
      </c>
      <c r="S24" s="34" t="n">
        <f aca="false">IF(B24="",0,(((D24/100)*'⚙️ Rate Card'!C7+F24*'⚙️ Rate Card'!C9+G24*'⚙️ Rate Card'!C10+H24*'⚙️ Rate Card'!C11+I24*'⚙️ Rate Card'!C12+J24*'⚙️ Rate Card'!C13+K24*'⚙️ Rate Card'!C14+(D24/100)*'⚙️ Rate Card'!C8+L24*IF(OR(O24="N/A",O24="None",O24=""),0,IF(O24="High",'⚙️ Rate Card'!C20,IF(O24="Medium",'⚙️ Rate Card'!C19,'⚙️ Rate Card'!C18)))+M24*IF(OR(P24="Decommission",P24=""),'⚙️ Rate Card'!C29,IF(P24="EC2 (Lift &amp; Shift)",'⚙️ Rate Card'!C25,IF(P24="AWS QuickSight",'⚙️ Rate Card'!C27,IF(P24="Power BI",'⚙️ Rate Card'!C28,IF(P24="Custom Reporting Solution",'⚙️ Rate Card'!C26,0)))))+IF(B24="",0,'⚙️ Rate Card'!C33+(D24/100)*'⚙️ Rate Card'!C34))*'⚙️ Rate Card'!C37)*(1-'📊 Dashboard'!C10/100)+(((D24/100)*'⚙️ Rate Card'!C7+F24*'⚙️ Rate Card'!C9+G24*'⚙️ Rate Card'!C10+H24*'⚙️ Rate Card'!C11+I24*'⚙️ Rate Card'!C12+J24*'⚙️ Rate Card'!C13+K24*'⚙️ Rate Card'!C14+(D24/100)*'⚙️ Rate Card'!C8+(D24/100)*'⚙️ Rate Card'!C8))*(1-'📊 Dashboard'!C10/100)+(L24*IF(OR(O24="N/A",O24="None",O24=""),0,IF(O24="High",'⚙️ Rate Card'!C20,IF(O24="Medium",'⚙️ Rate Card'!C19,'⚙️ Rate Card'!C18))))*(1-'📊 Dashboard'!C11/100)+(M24*IF(OR(P24="Decommission",P24=""),'⚙️ Rate Card'!C29,IF(P24="EC2 (Lift &amp; Shift)",'⚙️ Rate Card'!C25,IF(P24="AWS QuickSight",'⚙️ Rate Card'!C27,IF(P24="Power BI",'⚙️ Rate Card'!C28,IF(P24="Custom Reporting Solution",'⚙️ Rate Card'!C26,0))))))*(1-'📊 Dashboard'!C12/100)+(IF(B24="",0,'⚙️ Rate Card'!C33+(D24/100)*'⚙️ Rate Card'!C34))*(1-'📊 Dashboard'!C10/100)+(((D24/100)*'⚙️ Rate Card'!C7+F24*'⚙️ Rate Card'!C9+G24*'⚙️ Rate Card'!C10+H24*'⚙️ Rate Card'!C11+I24*'⚙️ Rate Card'!C12+J24*'⚙️ Rate Card'!C13+K24*'⚙️ Rate Card'!C14+(D24/100)*'⚙️ Rate Card'!C8+L24*IF(OR(O24="N/A",O24="None",O24=""),0,IF(O24="High",'⚙️ Rate Card'!C20,IF(O24="Medium",'⚙️ Rate Card'!C19,'⚙️ Rate Card'!C18)))+M24*IF(OR(P24="Decommission",P24=""),'⚙️ Rate Card'!C29,IF(P24="EC2 (Lift &amp; Shift)",'⚙️ Rate Card'!C25,IF(P24="AWS QuickSight",'⚙️ Rate Card'!C27,IF(P24="Power BI",'⚙️ Rate Card'!C28,IF(P24="Custom Reporting Solution",'⚙️ Rate Card'!C26,0)))))+IF(B24="",0,'⚙️ Rate Card'!C33+(D24/100)*'⚙️ Rate Card'!C34))*'⚙️ Rate Card'!C35)*(1-'📊 Dashboard'!C13/100)+(((D24/100)*'⚙️ Rate Card'!C7+F24*'⚙️ Rate Card'!C9+G24*'⚙️ Rate Card'!C10+H24*'⚙️ Rate Card'!C11+I24*'⚙️ Rate Card'!C12+J24*'⚙️ Rate Card'!C13+K24*'⚙️ Rate Card'!C14+(D24/100)*'⚙️ Rate Card'!C8+L24*IF(OR(O24="N/A",O24="None",O24=""),0,IF(O24="High",'⚙️ Rate Card'!C20,IF(O24="Medium",'⚙️ Rate Card'!C19,'⚙️ Rate Card'!C18)))+M24*IF(OR(P24="Decommission",P24=""),'⚙️ Rate Card'!C29,IF(P24="EC2 (Lift &amp; Shift)",'⚙️ Rate Card'!C25,IF(P24="AWS QuickSight",'⚙️ Rate Card'!C27,IF(P24="Power BI",'⚙️ Rate Card'!C28,IF(P24="Custom Reporting Solution",'⚙️ Rate Card'!C26,0)))))+IF(B24="",0,'⚙️ Rate Card'!C33+(D24/100)*'⚙️ Rate Card'!C34))*'⚙️ Rate Card'!C36)*(1-'📊 Dashboard'!C10/100))</f>
        <v>0</v>
      </c>
      <c r="T24" s="35" t="n">
        <f aca="false">IF(B24="",0,S24*(1+'📊 Dashboard'!C14/100))</f>
        <v>0</v>
      </c>
      <c r="U24" s="36" t="n">
        <f aca="false">IF(B24="",0,((D24/100)*'⚙️ Rate Card'!C7+F24*'⚙️ Rate Card'!C9+G24*'⚙️ Rate Card'!C10+H24*'⚙️ Rate Card'!C11+I24*'⚙️ Rate Card'!C12+J24*'⚙️ Rate Card'!C13+K24*'⚙️ Rate Card'!C14+(D24/100)*'⚙️ Rate Card'!C8+L24*IF(OR(O24="N/A",O24="None",O24=""),0,IF(O24="High",'⚙️ Rate Card'!C20,IF(O24="Medium",'⚙️ Rate Card'!C19,'⚙️ Rate Card'!C18)))+M24*IF(OR(P24="Decommission",P24=""),'⚙️ Rate Card'!C29,IF(P24="EC2 (Lift &amp; Shift)",'⚙️ Rate Card'!C25,IF(P24="AWS QuickSight",'⚙️ Rate Card'!C27,IF(P24="Power BI",'⚙️ Rate Card'!C28,IF(P24="Custom Reporting Solution",'⚙️ Rate Card'!C26,0)))))+IF(B24="",0,'⚙️ Rate Card'!C33+(D24/100)*'⚙️ Rate Card'!C34))*'⚙️ Rate Card'!C37)</f>
        <v>0</v>
      </c>
      <c r="V24" s="36" t="n">
        <f aca="false">IF(B24="",0,(D24/100)*'⚙️ Rate Card'!C7+F24*'⚙️ Rate Card'!C9+G24*'⚙️ Rate Card'!C10+H24*'⚙️ Rate Card'!C11+I24*'⚙️ Rate Card'!C12+J24*'⚙️ Rate Card'!C13+K24*'⚙️ Rate Card'!C14+(D24/100)*'⚙️ Rate Card'!C8+(D24/100)*'⚙️ Rate Card'!C8)</f>
        <v>0</v>
      </c>
      <c r="W24" s="36" t="n">
        <f aca="false">IF(B24="",0,L24*IF(OR(O24="N/A",O24="None",O24=""),0,IF(O24="High",'⚙️ Rate Card'!C20,IF(O24="Medium",'⚙️ Rate Card'!C19,'⚙️ Rate Card'!C18))))</f>
        <v>0</v>
      </c>
      <c r="X24" s="36" t="n">
        <f aca="false">IF(B24="",0,M24*IF(OR(P24="Decommission",P24=""),'⚙️ Rate Card'!C29,IF(P24="EC2 (Lift &amp; Shift)",'⚙️ Rate Card'!C25,IF(P24="AWS QuickSight",'⚙️ Rate Card'!C27,IF(P24="Power BI",'⚙️ Rate Card'!C28,IF(P24="Custom Reporting Solution",'⚙️ Rate Card'!C26,0))))))</f>
        <v>0</v>
      </c>
      <c r="Y24" s="36" t="n">
        <f aca="false">IF(B24="",0,IF(B24="",0,'⚙️ Rate Card'!C33+(D24/100)*'⚙️ Rate Card'!C34))</f>
        <v>0</v>
      </c>
      <c r="Z24" s="36" t="n">
        <f aca="false">IF(B24="",0,((D24/100)*'⚙️ Rate Card'!C7+F24*'⚙️ Rate Card'!C9+G24*'⚙️ Rate Card'!C10+H24*'⚙️ Rate Card'!C11+I24*'⚙️ Rate Card'!C12+J24*'⚙️ Rate Card'!C13+K24*'⚙️ Rate Card'!C14+(D24/100)*'⚙️ Rate Card'!C8+L24*IF(OR(O24="N/A",O24="None",O24=""),0,IF(O24="High",'⚙️ Rate Card'!C20,IF(O24="Medium",'⚙️ Rate Card'!C19,'⚙️ Rate Card'!C18)))+M24*IF(OR(P24="Decommission",P24=""),'⚙️ Rate Card'!C29,IF(P24="EC2 (Lift &amp; Shift)",'⚙️ Rate Card'!C25,IF(P24="AWS QuickSight",'⚙️ Rate Card'!C27,IF(P24="Power BI",'⚙️ Rate Card'!C28,IF(P24="Custom Reporting Solution",'⚙️ Rate Card'!C26,0)))))+IF(B24="",0,'⚙️ Rate Card'!C33+(D24/100)*'⚙️ Rate Card'!C34))*'⚙️ Rate Card'!C35)</f>
        <v>0</v>
      </c>
      <c r="AA24" s="36" t="n">
        <f aca="false">IF(B24="",0,((D24/100)*'⚙️ Rate Card'!C7+F24*'⚙️ Rate Card'!C9+G24*'⚙️ Rate Card'!C10+H24*'⚙️ Rate Card'!C11+I24*'⚙️ Rate Card'!C12+J24*'⚙️ Rate Card'!C13+K24*'⚙️ Rate Card'!C14+(D24/100)*'⚙️ Rate Card'!C8+L24*IF(OR(O24="N/A",O24="None",O24=""),0,IF(O24="High",'⚙️ Rate Card'!C20,IF(O24="Medium",'⚙️ Rate Card'!C19,'⚙️ Rate Card'!C18)))+M24*IF(OR(P24="Decommission",P24=""),'⚙️ Rate Card'!C29,IF(P24="EC2 (Lift &amp; Shift)",'⚙️ Rate Card'!C25,IF(P24="AWS QuickSight",'⚙️ Rate Card'!C27,IF(P24="Power BI",'⚙️ Rate Card'!C28,IF(P24="Custom Reporting Solution",'⚙️ Rate Card'!C26,0)))))+IF(B24="",0,'⚙️ Rate Card'!C33+(D24/100)*'⚙️ Rate Card'!C34))*'⚙️ Rate Card'!C36)</f>
        <v>0</v>
      </c>
      <c r="AB24" s="37" t="n">
        <f aca="false">'✏️ SME Input'!T25</f>
        <v>0</v>
      </c>
      <c r="AC24" s="36" t="n">
        <f aca="false">IF(B24="",0,AB24*0.75)</f>
        <v>0</v>
      </c>
      <c r="AD24" s="36" t="n">
        <f aca="false">IF(B24="",0,AB24*0.75)</f>
        <v>0</v>
      </c>
      <c r="AE24" s="36" t="n">
        <f aca="false">IF(B24="",0,AB24*0.75)</f>
        <v>0</v>
      </c>
      <c r="AF24" s="36" t="n">
        <f aca="false">IF(B24="",0,AB24*2.25)</f>
        <v>0</v>
      </c>
      <c r="AG24" s="36" t="n">
        <f aca="false">IF(B24="",0,((D24/100)*'⚙️ Rate Card'!C7+F24*'⚙️ Rate Card'!C9+G24*'⚙️ Rate Card'!C10+H24*'⚙️ Rate Card'!C11+I24*'⚙️ Rate Card'!C12+J24*'⚙️ Rate Card'!C13+K24*'⚙️ Rate Card'!C14+(D24/100)*'⚙️ Rate Card'!C8)*0.4)</f>
        <v>0</v>
      </c>
      <c r="AH24" s="36" t="n">
        <f aca="false">IF(B24="",0,((D24/100)*'⚙️ Rate Card'!C7+F24*'⚙️ Rate Card'!C9+G24*'⚙️ Rate Card'!C10+H24*'⚙️ Rate Card'!C11+I24*'⚙️ Rate Card'!C12+J24*'⚙️ Rate Card'!C13+K24*'⚙️ Rate Card'!C14+(D24/100)*'⚙️ Rate Card'!C8)*0.4)</f>
        <v>0</v>
      </c>
      <c r="AI24" s="36" t="n">
        <f aca="false">IF(B24="",0,((D24/100)*'⚙️ Rate Card'!C7+F24*'⚙️ Rate Card'!C9+G24*'⚙️ Rate Card'!C10+H24*'⚙️ Rate Card'!C11+I24*'⚙️ Rate Card'!C12+J24*'⚙️ Rate Card'!C13+K24*'⚙️ Rate Card'!C14+(D24/100)*'⚙️ Rate Card'!C8)*0.2)</f>
        <v>0</v>
      </c>
      <c r="AJ24" s="36" t="n">
        <f aca="false">IF(B24="",0,(L24*IF(OR(O24="N/A",O24="None",O24=""),0,IF(O24="High",'⚙️ Rate Card'!C20,IF(O24="Medium",'⚙️ Rate Card'!C19,'⚙️ Rate Card'!C18))))*0.5)</f>
        <v>0</v>
      </c>
      <c r="AK24" s="36" t="n">
        <f aca="false">IF(B24="",0,(L24*IF(OR(O24="N/A",O24="None",O24=""),0,IF(O24="High",'⚙️ Rate Card'!C20,IF(O24="Medium",'⚙️ Rate Card'!C19,'⚙️ Rate Card'!C18))))*0.35)</f>
        <v>0</v>
      </c>
      <c r="AL24" s="36" t="n">
        <f aca="false">IF(B24="",0,(L24*IF(OR(O24="N/A",O24="None",O24=""),0,IF(O24="High",'⚙️ Rate Card'!C20,IF(O24="Medium",'⚙️ Rate Card'!C19,'⚙️ Rate Card'!C18))))*0.15)</f>
        <v>0</v>
      </c>
      <c r="AM24" s="35" t="n">
        <f aca="false">IF(B24="",0,AG24+AJ24+(M24*IF(OR(P24="Decommission",P24=""),'⚙️ Rate Card'!C29,IF(P24="EC2 (Lift &amp; Shift)",'⚙️ Rate Card'!C25,IF(P24="AWS QuickSight",'⚙️ Rate Card'!C27,IF(P24="Power BI",'⚙️ Rate Card'!C28,IF(P24="Custom Reporting Solution",'⚙️ Rate Card'!C26,0))))))*0.4+(IF(B24="",0,'⚙️ Rate Card'!C33+(D24/100)*'⚙️ Rate Card'!C34))*0.4+AC24+(((D24/100)*'⚙️ Rate Card'!C7+F24*'⚙️ Rate Card'!C9+G24*'⚙️ Rate Card'!C10+H24*'⚙️ Rate Card'!C11+I24*'⚙️ Rate Card'!C12+J24*'⚙️ Rate Card'!C13+K24*'⚙️ Rate Card'!C14+(D24/100)*'⚙️ Rate Card'!C8+L24*IF(OR(O24="N/A",O24="None",O24=""),0,IF(O24="High",'⚙️ Rate Card'!C20,IF(O24="Medium",'⚙️ Rate Card'!C19,'⚙️ Rate Card'!C18)))+M24*IF(OR(P24="Decommission",P24=""),'⚙️ Rate Card'!C29,IF(P24="EC2 (Lift &amp; Shift)",'⚙️ Rate Card'!C25,IF(P24="AWS QuickSight",'⚙️ Rate Card'!C27,IF(P24="Power BI",'⚙️ Rate Card'!C28,IF(P24="Custom Reporting Solution",'⚙️ Rate Card'!C26,0)))))+IF(B24="",0,'⚙️ Rate Card'!C33+(D24/100)*'⚙️ Rate Card'!C34)))*'⚙️ Rate Card'!C35*0.4+(((D24/100)*'⚙️ Rate Card'!C7+F24*'⚙️ Rate Card'!C9+G24*'⚙️ Rate Card'!C10+H24*'⚙️ Rate Card'!C11+I24*'⚙️ Rate Card'!C12+J24*'⚙️ Rate Card'!C13+K24*'⚙️ Rate Card'!C14+(D24/100)*'⚙️ Rate Card'!C8+L24*IF(OR(O24="N/A",O24="None",O24=""),0,IF(O24="High",'⚙️ Rate Card'!C20,IF(O24="Medium",'⚙️ Rate Card'!C19,'⚙️ Rate Card'!C18)))+M24*IF(OR(P24="Decommission",P24=""),'⚙️ Rate Card'!C29,IF(P24="EC2 (Lift &amp; Shift)",'⚙️ Rate Card'!C25,IF(P24="AWS QuickSight",'⚙️ Rate Card'!C27,IF(P24="Power BI",'⚙️ Rate Card'!C28,IF(P24="Custom Reporting Solution",'⚙️ Rate Card'!C26,0)))))+IF(B24="",0,'⚙️ Rate Card'!C33+(D24/100)*'⚙️ Rate Card'!C34)))*'⚙️ Rate Card'!C36*0.4+(((D24/100)*'⚙️ Rate Card'!C7+F24*'⚙️ Rate Card'!C9+G24*'⚙️ Rate Card'!C10+H24*'⚙️ Rate Card'!C11+I24*'⚙️ Rate Card'!C12+J24*'⚙️ Rate Card'!C13+K24*'⚙️ Rate Card'!C14+(D24/100)*'⚙️ Rate Card'!C8+L24*IF(OR(O24="N/A",O24="None",O24=""),0,IF(O24="High",'⚙️ Rate Card'!C20,IF(O24="Medium",'⚙️ Rate Card'!C19,'⚙️ Rate Card'!C18)))+M24*IF(OR(P24="Decommission",P24=""),'⚙️ Rate Card'!C29,IF(P24="EC2 (Lift &amp; Shift)",'⚙️ Rate Card'!C25,IF(P24="AWS QuickSight",'⚙️ Rate Card'!C27,IF(P24="Power BI",'⚙️ Rate Card'!C28,IF(P24="Custom Reporting Solution",'⚙️ Rate Card'!C26,0)))))+IF(B24="",0,'⚙️ Rate Card'!C33+(D24/100)*'⚙️ Rate Card'!C34)))*'⚙️ Rate Card'!C37*0.4)</f>
        <v>0</v>
      </c>
      <c r="AN24" s="38" t="n">
        <f aca="false">IF(B24="",0,AH24+AK24+(M24*IF(OR(P24="Decommission",P24=""),'⚙️ Rate Card'!C29,IF(P24="EC2 (Lift &amp; Shift)",'⚙️ Rate Card'!C25,IF(P24="AWS QuickSight",'⚙️ Rate Card'!C27,IF(P24="Power BI",'⚙️ Rate Card'!C28,IF(P24="Custom Reporting Solution",'⚙️ Rate Card'!C26,0))))))*0.4+(IF(B24="",0,'⚙️ Rate Card'!C33+(D24/100)*'⚙️ Rate Card'!C34))*0.4+AD24+(((D24/100)*'⚙️ Rate Card'!C7+F24*'⚙️ Rate Card'!C9+G24*'⚙️ Rate Card'!C10+H24*'⚙️ Rate Card'!C11+I24*'⚙️ Rate Card'!C12+J24*'⚙️ Rate Card'!C13+K24*'⚙️ Rate Card'!C14+(D24/100)*'⚙️ Rate Card'!C8+L24*IF(OR(O24="N/A",O24="None",O24=""),0,IF(O24="High",'⚙️ Rate Card'!C20,IF(O24="Medium",'⚙️ Rate Card'!C19,'⚙️ Rate Card'!C18)))+M24*IF(OR(P24="Decommission",P24=""),'⚙️ Rate Card'!C29,IF(P24="EC2 (Lift &amp; Shift)",'⚙️ Rate Card'!C25,IF(P24="AWS QuickSight",'⚙️ Rate Card'!C27,IF(P24="Power BI",'⚙️ Rate Card'!C28,IF(P24="Custom Reporting Solution",'⚙️ Rate Card'!C26,0)))))+IF(B24="",0,'⚙️ Rate Card'!C33+(D24/100)*'⚙️ Rate Card'!C34)))*'⚙️ Rate Card'!C35*0.4+(((D24/100)*'⚙️ Rate Card'!C7+F24*'⚙️ Rate Card'!C9+G24*'⚙️ Rate Card'!C10+H24*'⚙️ Rate Card'!C11+I24*'⚙️ Rate Card'!C12+J24*'⚙️ Rate Card'!C13+K24*'⚙️ Rate Card'!C14+(D24/100)*'⚙️ Rate Card'!C8+L24*IF(OR(O24="N/A",O24="None",O24=""),0,IF(O24="High",'⚙️ Rate Card'!C20,IF(O24="Medium",'⚙️ Rate Card'!C19,'⚙️ Rate Card'!C18)))+M24*IF(OR(P24="Decommission",P24=""),'⚙️ Rate Card'!C29,IF(P24="EC2 (Lift &amp; Shift)",'⚙️ Rate Card'!C25,IF(P24="AWS QuickSight",'⚙️ Rate Card'!C27,IF(P24="Power BI",'⚙️ Rate Card'!C28,IF(P24="Custom Reporting Solution",'⚙️ Rate Card'!C26,0)))))+IF(B24="",0,'⚙️ Rate Card'!C33+(D24/100)*'⚙️ Rate Card'!C34)))*'⚙️ Rate Card'!C36*0.4+(((D24/100)*'⚙️ Rate Card'!C7+F24*'⚙️ Rate Card'!C9+G24*'⚙️ Rate Card'!C10+H24*'⚙️ Rate Card'!C11+I24*'⚙️ Rate Card'!C12+J24*'⚙️ Rate Card'!C13+K24*'⚙️ Rate Card'!C14+(D24/100)*'⚙️ Rate Card'!C8+L24*IF(OR(O24="N/A",O24="None",O24=""),0,IF(O24="High",'⚙️ Rate Card'!C20,IF(O24="Medium",'⚙️ Rate Card'!C19,'⚙️ Rate Card'!C18)))+M24*IF(OR(P24="Decommission",P24=""),'⚙️ Rate Card'!C29,IF(P24="EC2 (Lift &amp; Shift)",'⚙️ Rate Card'!C25,IF(P24="AWS QuickSight",'⚙️ Rate Card'!C27,IF(P24="Power BI",'⚙️ Rate Card'!C28,IF(P24="Custom Reporting Solution",'⚙️ Rate Card'!C26,0)))))+IF(B24="",0,'⚙️ Rate Card'!C33+(D24/100)*'⚙️ Rate Card'!C34)))*'⚙️ Rate Card'!C37*0.4)</f>
        <v>0</v>
      </c>
      <c r="AO24" s="39" t="n">
        <f aca="false">IF(B24="",0,AI24+AL24+(M24*IF(OR(P24="Decommission",P24=""),'⚙️ Rate Card'!C29,IF(P24="EC2 (Lift &amp; Shift)",'⚙️ Rate Card'!C25,IF(P24="AWS QuickSight",'⚙️ Rate Card'!C27,IF(P24="Power BI",'⚙️ Rate Card'!C28,IF(P24="Custom Reporting Solution",'⚙️ Rate Card'!C26,0))))))*0.2+(IF(B24="",0,'⚙️ Rate Card'!C33+(D24/100)*'⚙️ Rate Card'!C34))*0.2+AE24+(((D24/100)*'⚙️ Rate Card'!C7+F24*'⚙️ Rate Card'!C9+G24*'⚙️ Rate Card'!C10+H24*'⚙️ Rate Card'!C11+I24*'⚙️ Rate Card'!C12+J24*'⚙️ Rate Card'!C13+K24*'⚙️ Rate Card'!C14+(D24/100)*'⚙️ Rate Card'!C8+L24*IF(OR(O24="N/A",O24="None",O24=""),0,IF(O24="High",'⚙️ Rate Card'!C20,IF(O24="Medium",'⚙️ Rate Card'!C19,'⚙️ Rate Card'!C18)))+M24*IF(OR(P24="Decommission",P24=""),'⚙️ Rate Card'!C29,IF(P24="EC2 (Lift &amp; Shift)",'⚙️ Rate Card'!C25,IF(P24="AWS QuickSight",'⚙️ Rate Card'!C27,IF(P24="Power BI",'⚙️ Rate Card'!C28,IF(P24="Custom Reporting Solution",'⚙️ Rate Card'!C26,0)))))+IF(B24="",0,'⚙️ Rate Card'!C33+(D24/100)*'⚙️ Rate Card'!C34)))*'⚙️ Rate Card'!C35*0.2+(((D24/100)*'⚙️ Rate Card'!C7+F24*'⚙️ Rate Card'!C9+G24*'⚙️ Rate Card'!C10+H24*'⚙️ Rate Card'!C11+I24*'⚙️ Rate Card'!C12+J24*'⚙️ Rate Card'!C13+K24*'⚙️ Rate Card'!C14+(D24/100)*'⚙️ Rate Card'!C8+L24*IF(OR(O24="N/A",O24="None",O24=""),0,IF(O24="High",'⚙️ Rate Card'!C20,IF(O24="Medium",'⚙️ Rate Card'!C19,'⚙️ Rate Card'!C18)))+M24*IF(OR(P24="Decommission",P24=""),'⚙️ Rate Card'!C29,IF(P24="EC2 (Lift &amp; Shift)",'⚙️ Rate Card'!C25,IF(P24="AWS QuickSight",'⚙️ Rate Card'!C27,IF(P24="Power BI",'⚙️ Rate Card'!C28,IF(P24="Custom Reporting Solution",'⚙️ Rate Card'!C26,0)))))+IF(B24="",0,'⚙️ Rate Card'!C33+(D24/100)*'⚙️ Rate Card'!C34)))*'⚙️ Rate Card'!C36*0.2+(((D24/100)*'⚙️ Rate Card'!C7+F24*'⚙️ Rate Card'!C9+G24*'⚙️ Rate Card'!C10+H24*'⚙️ Rate Card'!C11+I24*'⚙️ Rate Card'!C12+J24*'⚙️ Rate Card'!C13+K24*'⚙️ Rate Card'!C14+(D24/100)*'⚙️ Rate Card'!C8+L24*IF(OR(O24="N/A",O24="None",O24=""),0,IF(O24="High",'⚙️ Rate Card'!C20,IF(O24="Medium",'⚙️ Rate Card'!C19,'⚙️ Rate Card'!C18)))+M24*IF(OR(P24="Decommission",P24=""),'⚙️ Rate Card'!C29,IF(P24="EC2 (Lift &amp; Shift)",'⚙️ Rate Card'!C25,IF(P24="AWS QuickSight",'⚙️ Rate Card'!C27,IF(P24="Power BI",'⚙️ Rate Card'!C28,IF(P24="Custom Reporting Solution",'⚙️ Rate Card'!C26,0)))))+IF(B24="",0,'⚙️ Rate Card'!C33+(D24/100)*'⚙️ Rate Card'!C34)))*'⚙️ Rate Card'!C37*0.2)</f>
        <v>0</v>
      </c>
      <c r="AP24" s="37" t="n">
        <f aca="false">'✏️ SME Input'!B25</f>
        <v>0</v>
      </c>
      <c r="AQ24" s="37" t="n">
        <f aca="false">'✏️ SME Input'!C25</f>
        <v>0</v>
      </c>
      <c r="AR24" s="37" t="n">
        <f aca="false">'✏️ SME Input'!D25</f>
        <v>0</v>
      </c>
    </row>
    <row r="25" customFormat="false" ht="18" hidden="false" customHeight="true" outlineLevel="0" collapsed="false">
      <c r="B25" s="40" t="n">
        <f aca="false">'✏️ SME Input'!E26</f>
        <v>0</v>
      </c>
      <c r="C25" s="31" t="str">
        <f aca="false">IF(B25="","",IF(D25&gt;1000,"T3 Complex",IF(D25&gt;500,"T2 Moderate","T1 Simple")))</f>
        <v/>
      </c>
      <c r="D25" s="32" t="n">
        <f aca="false">'✏️ SME Input'!G26</f>
        <v>0</v>
      </c>
      <c r="E25" s="32" t="n">
        <f aca="false">'✏️ SME Input'!H26</f>
        <v>0</v>
      </c>
      <c r="F25" s="32" t="n">
        <f aca="false">'✏️ SME Input'!I26</f>
        <v>0</v>
      </c>
      <c r="G25" s="32" t="n">
        <f aca="false">'✏️ SME Input'!J26</f>
        <v>0</v>
      </c>
      <c r="H25" s="32" t="n">
        <f aca="false">'✏️ SME Input'!K26</f>
        <v>0</v>
      </c>
      <c r="I25" s="32" t="n">
        <f aca="false">'✏️ SME Input'!L26</f>
        <v>0</v>
      </c>
      <c r="J25" s="32" t="n">
        <f aca="false">'✏️ SME Input'!M26</f>
        <v>0</v>
      </c>
      <c r="K25" s="32" t="n">
        <f aca="false">'✏️ SME Input'!N26</f>
        <v>0</v>
      </c>
      <c r="L25" s="32" t="n">
        <f aca="false">'✏️ SME Input'!O26</f>
        <v>0</v>
      </c>
      <c r="M25" s="32" t="n">
        <f aca="false">'✏️ SME Input'!P26</f>
        <v>0</v>
      </c>
      <c r="N25" s="17" t="n">
        <f aca="false">'✏️ SME Input'!Q26</f>
        <v>0</v>
      </c>
      <c r="O25" s="33" t="n">
        <f aca="false">'✏️ SME Input'!R26</f>
        <v>0</v>
      </c>
      <c r="P25" s="33" t="n">
        <f aca="false">'✏️ SME Input'!S26</f>
        <v>0</v>
      </c>
      <c r="Q25" s="32" t="n">
        <f aca="false">'✏️ SME Input'!F26</f>
        <v>0</v>
      </c>
      <c r="R25" s="34" t="n">
        <f aca="false">IF(B25="",0,((D25/100)*'⚙️ Rate Card'!C7+F25*'⚙️ Rate Card'!C9+G25*'⚙️ Rate Card'!C10+H25*'⚙️ Rate Card'!C11+I25*'⚙️ Rate Card'!C12+J25*'⚙️ Rate Card'!C13+K25*'⚙️ Rate Card'!C14+(D25/100)*'⚙️ Rate Card'!C8+L25*IF(OR(O25="N/A",O25="None",O25=""),0,IF(O25="High",'⚙️ Rate Card'!C20,IF(O25="Medium",'⚙️ Rate Card'!C19,'⚙️ Rate Card'!C18)))+M25*IF(OR(P25="Decommission",P25=""),'⚙️ Rate Card'!C29,IF(P25="EC2 (Lift &amp; Shift)",'⚙️ Rate Card'!C25,IF(P25="AWS QuickSight",'⚙️ Rate Card'!C27,IF(P25="Power BI",'⚙️ Rate Card'!C28,IF(P25="Custom Reporting Solution",'⚙️ Rate Card'!C26,0)))))+IF(B25="",0,'⚙️ Rate Card'!C33+(D25/100)*'⚙️ Rate Card'!C34))*'⚙️ Rate Card'!C37+(D25/100)*'⚙️ Rate Card'!C7+F25*'⚙️ Rate Card'!C9+G25*'⚙️ Rate Card'!C10+H25*'⚙️ Rate Card'!C11+I25*'⚙️ Rate Card'!C12+J25*'⚙️ Rate Card'!C13+K25*'⚙️ Rate Card'!C14+(D25/100)*'⚙️ Rate Card'!C8+(D25/100)*'⚙️ Rate Card'!C8+L25*IF(OR(O25="N/A",O25="None",O25=""),0,IF(O25="High",'⚙️ Rate Card'!C20,IF(O25="Medium",'⚙️ Rate Card'!C19,'⚙️ Rate Card'!C18)))+M25*IF(OR(P25="Decommission",P25=""),'⚙️ Rate Card'!C29,IF(P25="EC2 (Lift &amp; Shift)",'⚙️ Rate Card'!C25,IF(P25="AWS QuickSight",'⚙️ Rate Card'!C27,IF(P25="Power BI",'⚙️ Rate Card'!C28,IF(P25="Custom Reporting Solution",'⚙️ Rate Card'!C26,0)))))+IF(B25="",0,'⚙️ Rate Card'!C33+(D25/100)*'⚙️ Rate Card'!C34)+((D25/100)*'⚙️ Rate Card'!C7+F25*'⚙️ Rate Card'!C9+G25*'⚙️ Rate Card'!C10+H25*'⚙️ Rate Card'!C11+I25*'⚙️ Rate Card'!C12+J25*'⚙️ Rate Card'!C13+K25*'⚙️ Rate Card'!C14+(D25/100)*'⚙️ Rate Card'!C8+L25*IF(OR(O25="N/A",O25="None",O25=""),0,IF(O25="High",'⚙️ Rate Card'!C20,IF(O25="Medium",'⚙️ Rate Card'!C19,'⚙️ Rate Card'!C18)))+M25*IF(OR(P25="Decommission",P25=""),'⚙️ Rate Card'!C29,IF(P25="EC2 (Lift &amp; Shift)",'⚙️ Rate Card'!C25,IF(P25="AWS QuickSight",'⚙️ Rate Card'!C27,IF(P25="Power BI",'⚙️ Rate Card'!C28,IF(P25="Custom Reporting Solution",'⚙️ Rate Card'!C26,0)))))+IF(B25="",0,'⚙️ Rate Card'!C33+(D25/100)*'⚙️ Rate Card'!C34))*'⚙️ Rate Card'!C35+((D25/100)*'⚙️ Rate Card'!C7+F25*'⚙️ Rate Card'!C9+G25*'⚙️ Rate Card'!C10+H25*'⚙️ Rate Card'!C11+I25*'⚙️ Rate Card'!C12+J25*'⚙️ Rate Card'!C13+K25*'⚙️ Rate Card'!C14+(D25/100)*'⚙️ Rate Card'!C8+L25*IF(OR(O25="N/A",O25="None",O25=""),0,IF(O25="High",'⚙️ Rate Card'!C20,IF(O25="Medium",'⚙️ Rate Card'!C19,'⚙️ Rate Card'!C18)))+M25*IF(OR(P25="Decommission",P25=""),'⚙️ Rate Card'!C29,IF(P25="EC2 (Lift &amp; Shift)",'⚙️ Rate Card'!C25,IF(P25="AWS QuickSight",'⚙️ Rate Card'!C27,IF(P25="Power BI",'⚙️ Rate Card'!C28,IF(P25="Custom Reporting Solution",'⚙️ Rate Card'!C26,0)))))+IF(B25="",0,'⚙️ Rate Card'!C33+(D25/100)*'⚙️ Rate Card'!C34))*'⚙️ Rate Card'!C36)</f>
        <v>0</v>
      </c>
      <c r="S25" s="34" t="n">
        <f aca="false">IF(B25="",0,(((D25/100)*'⚙️ Rate Card'!C7+F25*'⚙️ Rate Card'!C9+G25*'⚙️ Rate Card'!C10+H25*'⚙️ Rate Card'!C11+I25*'⚙️ Rate Card'!C12+J25*'⚙️ Rate Card'!C13+K25*'⚙️ Rate Card'!C14+(D25/100)*'⚙️ Rate Card'!C8+L25*IF(OR(O25="N/A",O25="None",O25=""),0,IF(O25="High",'⚙️ Rate Card'!C20,IF(O25="Medium",'⚙️ Rate Card'!C19,'⚙️ Rate Card'!C18)))+M25*IF(OR(P25="Decommission",P25=""),'⚙️ Rate Card'!C29,IF(P25="EC2 (Lift &amp; Shift)",'⚙️ Rate Card'!C25,IF(P25="AWS QuickSight",'⚙️ Rate Card'!C27,IF(P25="Power BI",'⚙️ Rate Card'!C28,IF(P25="Custom Reporting Solution",'⚙️ Rate Card'!C26,0)))))+IF(B25="",0,'⚙️ Rate Card'!C33+(D25/100)*'⚙️ Rate Card'!C34))*'⚙️ Rate Card'!C37)*(1-'📊 Dashboard'!C10/100)+(((D25/100)*'⚙️ Rate Card'!C7+F25*'⚙️ Rate Card'!C9+G25*'⚙️ Rate Card'!C10+H25*'⚙️ Rate Card'!C11+I25*'⚙️ Rate Card'!C12+J25*'⚙️ Rate Card'!C13+K25*'⚙️ Rate Card'!C14+(D25/100)*'⚙️ Rate Card'!C8+(D25/100)*'⚙️ Rate Card'!C8))*(1-'📊 Dashboard'!C10/100)+(L25*IF(OR(O25="N/A",O25="None",O25=""),0,IF(O25="High",'⚙️ Rate Card'!C20,IF(O25="Medium",'⚙️ Rate Card'!C19,'⚙️ Rate Card'!C18))))*(1-'📊 Dashboard'!C11/100)+(M25*IF(OR(P25="Decommission",P25=""),'⚙️ Rate Card'!C29,IF(P25="EC2 (Lift &amp; Shift)",'⚙️ Rate Card'!C25,IF(P25="AWS QuickSight",'⚙️ Rate Card'!C27,IF(P25="Power BI",'⚙️ Rate Card'!C28,IF(P25="Custom Reporting Solution",'⚙️ Rate Card'!C26,0))))))*(1-'📊 Dashboard'!C12/100)+(IF(B25="",0,'⚙️ Rate Card'!C33+(D25/100)*'⚙️ Rate Card'!C34))*(1-'📊 Dashboard'!C10/100)+(((D25/100)*'⚙️ Rate Card'!C7+F25*'⚙️ Rate Card'!C9+G25*'⚙️ Rate Card'!C10+H25*'⚙️ Rate Card'!C11+I25*'⚙️ Rate Card'!C12+J25*'⚙️ Rate Card'!C13+K25*'⚙️ Rate Card'!C14+(D25/100)*'⚙️ Rate Card'!C8+L25*IF(OR(O25="N/A",O25="None",O25=""),0,IF(O25="High",'⚙️ Rate Card'!C20,IF(O25="Medium",'⚙️ Rate Card'!C19,'⚙️ Rate Card'!C18)))+M25*IF(OR(P25="Decommission",P25=""),'⚙️ Rate Card'!C29,IF(P25="EC2 (Lift &amp; Shift)",'⚙️ Rate Card'!C25,IF(P25="AWS QuickSight",'⚙️ Rate Card'!C27,IF(P25="Power BI",'⚙️ Rate Card'!C28,IF(P25="Custom Reporting Solution",'⚙️ Rate Card'!C26,0)))))+IF(B25="",0,'⚙️ Rate Card'!C33+(D25/100)*'⚙️ Rate Card'!C34))*'⚙️ Rate Card'!C35)*(1-'📊 Dashboard'!C13/100)+(((D25/100)*'⚙️ Rate Card'!C7+F25*'⚙️ Rate Card'!C9+G25*'⚙️ Rate Card'!C10+H25*'⚙️ Rate Card'!C11+I25*'⚙️ Rate Card'!C12+J25*'⚙️ Rate Card'!C13+K25*'⚙️ Rate Card'!C14+(D25/100)*'⚙️ Rate Card'!C8+L25*IF(OR(O25="N/A",O25="None",O25=""),0,IF(O25="High",'⚙️ Rate Card'!C20,IF(O25="Medium",'⚙️ Rate Card'!C19,'⚙️ Rate Card'!C18)))+M25*IF(OR(P25="Decommission",P25=""),'⚙️ Rate Card'!C29,IF(P25="EC2 (Lift &amp; Shift)",'⚙️ Rate Card'!C25,IF(P25="AWS QuickSight",'⚙️ Rate Card'!C27,IF(P25="Power BI",'⚙️ Rate Card'!C28,IF(P25="Custom Reporting Solution",'⚙️ Rate Card'!C26,0)))))+IF(B25="",0,'⚙️ Rate Card'!C33+(D25/100)*'⚙️ Rate Card'!C34))*'⚙️ Rate Card'!C36)*(1-'📊 Dashboard'!C10/100))</f>
        <v>0</v>
      </c>
      <c r="T25" s="35" t="n">
        <f aca="false">IF(B25="",0,S25*(1+'📊 Dashboard'!C14/100))</f>
        <v>0</v>
      </c>
      <c r="U25" s="41" t="n">
        <f aca="false">IF(B25="",0,((D25/100)*'⚙️ Rate Card'!C7+F25*'⚙️ Rate Card'!C9+G25*'⚙️ Rate Card'!C10+H25*'⚙️ Rate Card'!C11+I25*'⚙️ Rate Card'!C12+J25*'⚙️ Rate Card'!C13+K25*'⚙️ Rate Card'!C14+(D25/100)*'⚙️ Rate Card'!C8+L25*IF(OR(O25="N/A",O25="None",O25=""),0,IF(O25="High",'⚙️ Rate Card'!C20,IF(O25="Medium",'⚙️ Rate Card'!C19,'⚙️ Rate Card'!C18)))+M25*IF(OR(P25="Decommission",P25=""),'⚙️ Rate Card'!C29,IF(P25="EC2 (Lift &amp; Shift)",'⚙️ Rate Card'!C25,IF(P25="AWS QuickSight",'⚙️ Rate Card'!C27,IF(P25="Power BI",'⚙️ Rate Card'!C28,IF(P25="Custom Reporting Solution",'⚙️ Rate Card'!C26,0)))))+IF(B25="",0,'⚙️ Rate Card'!C33+(D25/100)*'⚙️ Rate Card'!C34))*'⚙️ Rate Card'!C37)</f>
        <v>0</v>
      </c>
      <c r="V25" s="41" t="n">
        <f aca="false">IF(B25="",0,(D25/100)*'⚙️ Rate Card'!C7+F25*'⚙️ Rate Card'!C9+G25*'⚙️ Rate Card'!C10+H25*'⚙️ Rate Card'!C11+I25*'⚙️ Rate Card'!C12+J25*'⚙️ Rate Card'!C13+K25*'⚙️ Rate Card'!C14+(D25/100)*'⚙️ Rate Card'!C8+(D25/100)*'⚙️ Rate Card'!C8)</f>
        <v>0</v>
      </c>
      <c r="W25" s="41" t="n">
        <f aca="false">IF(B25="",0,L25*IF(OR(O25="N/A",O25="None",O25=""),0,IF(O25="High",'⚙️ Rate Card'!C20,IF(O25="Medium",'⚙️ Rate Card'!C19,'⚙️ Rate Card'!C18))))</f>
        <v>0</v>
      </c>
      <c r="X25" s="41" t="n">
        <f aca="false">IF(B25="",0,M25*IF(OR(P25="Decommission",P25=""),'⚙️ Rate Card'!C29,IF(P25="EC2 (Lift &amp; Shift)",'⚙️ Rate Card'!C25,IF(P25="AWS QuickSight",'⚙️ Rate Card'!C27,IF(P25="Power BI",'⚙️ Rate Card'!C28,IF(P25="Custom Reporting Solution",'⚙️ Rate Card'!C26,0))))))</f>
        <v>0</v>
      </c>
      <c r="Y25" s="41" t="n">
        <f aca="false">IF(B25="",0,IF(B25="",0,'⚙️ Rate Card'!C33+(D25/100)*'⚙️ Rate Card'!C34))</f>
        <v>0</v>
      </c>
      <c r="Z25" s="41" t="n">
        <f aca="false">IF(B25="",0,((D25/100)*'⚙️ Rate Card'!C7+F25*'⚙️ Rate Card'!C9+G25*'⚙️ Rate Card'!C10+H25*'⚙️ Rate Card'!C11+I25*'⚙️ Rate Card'!C12+J25*'⚙️ Rate Card'!C13+K25*'⚙️ Rate Card'!C14+(D25/100)*'⚙️ Rate Card'!C8+L25*IF(OR(O25="N/A",O25="None",O25=""),0,IF(O25="High",'⚙️ Rate Card'!C20,IF(O25="Medium",'⚙️ Rate Card'!C19,'⚙️ Rate Card'!C18)))+M25*IF(OR(P25="Decommission",P25=""),'⚙️ Rate Card'!C29,IF(P25="EC2 (Lift &amp; Shift)",'⚙️ Rate Card'!C25,IF(P25="AWS QuickSight",'⚙️ Rate Card'!C27,IF(P25="Power BI",'⚙️ Rate Card'!C28,IF(P25="Custom Reporting Solution",'⚙️ Rate Card'!C26,0)))))+IF(B25="",0,'⚙️ Rate Card'!C33+(D25/100)*'⚙️ Rate Card'!C34))*'⚙️ Rate Card'!C35)</f>
        <v>0</v>
      </c>
      <c r="AA25" s="41" t="n">
        <f aca="false">IF(B25="",0,((D25/100)*'⚙️ Rate Card'!C7+F25*'⚙️ Rate Card'!C9+G25*'⚙️ Rate Card'!C10+H25*'⚙️ Rate Card'!C11+I25*'⚙️ Rate Card'!C12+J25*'⚙️ Rate Card'!C13+K25*'⚙️ Rate Card'!C14+(D25/100)*'⚙️ Rate Card'!C8+L25*IF(OR(O25="N/A",O25="None",O25=""),0,IF(O25="High",'⚙️ Rate Card'!C20,IF(O25="Medium",'⚙️ Rate Card'!C19,'⚙️ Rate Card'!C18)))+M25*IF(OR(P25="Decommission",P25=""),'⚙️ Rate Card'!C29,IF(P25="EC2 (Lift &amp; Shift)",'⚙️ Rate Card'!C25,IF(P25="AWS QuickSight",'⚙️ Rate Card'!C27,IF(P25="Power BI",'⚙️ Rate Card'!C28,IF(P25="Custom Reporting Solution",'⚙️ Rate Card'!C26,0)))))+IF(B25="",0,'⚙️ Rate Card'!C33+(D25/100)*'⚙️ Rate Card'!C34))*'⚙️ Rate Card'!C36)</f>
        <v>0</v>
      </c>
      <c r="AB25" s="37" t="n">
        <f aca="false">'✏️ SME Input'!T26</f>
        <v>0</v>
      </c>
      <c r="AC25" s="41" t="n">
        <f aca="false">IF(B25="",0,AB25*0.75)</f>
        <v>0</v>
      </c>
      <c r="AD25" s="41" t="n">
        <f aca="false">IF(B25="",0,AB25*0.75)</f>
        <v>0</v>
      </c>
      <c r="AE25" s="41" t="n">
        <f aca="false">IF(B25="",0,AB25*0.75)</f>
        <v>0</v>
      </c>
      <c r="AF25" s="41" t="n">
        <f aca="false">IF(B25="",0,AB25*2.25)</f>
        <v>0</v>
      </c>
      <c r="AG25" s="41" t="n">
        <f aca="false">IF(B25="",0,((D25/100)*'⚙️ Rate Card'!C7+F25*'⚙️ Rate Card'!C9+G25*'⚙️ Rate Card'!C10+H25*'⚙️ Rate Card'!C11+I25*'⚙️ Rate Card'!C12+J25*'⚙️ Rate Card'!C13+K25*'⚙️ Rate Card'!C14+(D25/100)*'⚙️ Rate Card'!C8)*0.4)</f>
        <v>0</v>
      </c>
      <c r="AH25" s="41" t="n">
        <f aca="false">IF(B25="",0,((D25/100)*'⚙️ Rate Card'!C7+F25*'⚙️ Rate Card'!C9+G25*'⚙️ Rate Card'!C10+H25*'⚙️ Rate Card'!C11+I25*'⚙️ Rate Card'!C12+J25*'⚙️ Rate Card'!C13+K25*'⚙️ Rate Card'!C14+(D25/100)*'⚙️ Rate Card'!C8)*0.4)</f>
        <v>0</v>
      </c>
      <c r="AI25" s="41" t="n">
        <f aca="false">IF(B25="",0,((D25/100)*'⚙️ Rate Card'!C7+F25*'⚙️ Rate Card'!C9+G25*'⚙️ Rate Card'!C10+H25*'⚙️ Rate Card'!C11+I25*'⚙️ Rate Card'!C12+J25*'⚙️ Rate Card'!C13+K25*'⚙️ Rate Card'!C14+(D25/100)*'⚙️ Rate Card'!C8)*0.2)</f>
        <v>0</v>
      </c>
      <c r="AJ25" s="41" t="n">
        <f aca="false">IF(B25="",0,(L25*IF(OR(O25="N/A",O25="None",O25=""),0,IF(O25="High",'⚙️ Rate Card'!C20,IF(O25="Medium",'⚙️ Rate Card'!C19,'⚙️ Rate Card'!C18))))*0.5)</f>
        <v>0</v>
      </c>
      <c r="AK25" s="41" t="n">
        <f aca="false">IF(B25="",0,(L25*IF(OR(O25="N/A",O25="None",O25=""),0,IF(O25="High",'⚙️ Rate Card'!C20,IF(O25="Medium",'⚙️ Rate Card'!C19,'⚙️ Rate Card'!C18))))*0.35)</f>
        <v>0</v>
      </c>
      <c r="AL25" s="41" t="n">
        <f aca="false">IF(B25="",0,(L25*IF(OR(O25="N/A",O25="None",O25=""),0,IF(O25="High",'⚙️ Rate Card'!C20,IF(O25="Medium",'⚙️ Rate Card'!C19,'⚙️ Rate Card'!C18))))*0.15)</f>
        <v>0</v>
      </c>
      <c r="AM25" s="35" t="n">
        <f aca="false">IF(B25="",0,AG25+AJ25+(M25*IF(OR(P25="Decommission",P25=""),'⚙️ Rate Card'!C29,IF(P25="EC2 (Lift &amp; Shift)",'⚙️ Rate Card'!C25,IF(P25="AWS QuickSight",'⚙️ Rate Card'!C27,IF(P25="Power BI",'⚙️ Rate Card'!C28,IF(P25="Custom Reporting Solution",'⚙️ Rate Card'!C26,0))))))*0.4+(IF(B25="",0,'⚙️ Rate Card'!C33+(D25/100)*'⚙️ Rate Card'!C34))*0.4+AC25+(((D25/100)*'⚙️ Rate Card'!C7+F25*'⚙️ Rate Card'!C9+G25*'⚙️ Rate Card'!C10+H25*'⚙️ Rate Card'!C11+I25*'⚙️ Rate Card'!C12+J25*'⚙️ Rate Card'!C13+K25*'⚙️ Rate Card'!C14+(D25/100)*'⚙️ Rate Card'!C8+L25*IF(OR(O25="N/A",O25="None",O25=""),0,IF(O25="High",'⚙️ Rate Card'!C20,IF(O25="Medium",'⚙️ Rate Card'!C19,'⚙️ Rate Card'!C18)))+M25*IF(OR(P25="Decommission",P25=""),'⚙️ Rate Card'!C29,IF(P25="EC2 (Lift &amp; Shift)",'⚙️ Rate Card'!C25,IF(P25="AWS QuickSight",'⚙️ Rate Card'!C27,IF(P25="Power BI",'⚙️ Rate Card'!C28,IF(P25="Custom Reporting Solution",'⚙️ Rate Card'!C26,0)))))+IF(B25="",0,'⚙️ Rate Card'!C33+(D25/100)*'⚙️ Rate Card'!C34)))*'⚙️ Rate Card'!C35*0.4+(((D25/100)*'⚙️ Rate Card'!C7+F25*'⚙️ Rate Card'!C9+G25*'⚙️ Rate Card'!C10+H25*'⚙️ Rate Card'!C11+I25*'⚙️ Rate Card'!C12+J25*'⚙️ Rate Card'!C13+K25*'⚙️ Rate Card'!C14+(D25/100)*'⚙️ Rate Card'!C8+L25*IF(OR(O25="N/A",O25="None",O25=""),0,IF(O25="High",'⚙️ Rate Card'!C20,IF(O25="Medium",'⚙️ Rate Card'!C19,'⚙️ Rate Card'!C18)))+M25*IF(OR(P25="Decommission",P25=""),'⚙️ Rate Card'!C29,IF(P25="EC2 (Lift &amp; Shift)",'⚙️ Rate Card'!C25,IF(P25="AWS QuickSight",'⚙️ Rate Card'!C27,IF(P25="Power BI",'⚙️ Rate Card'!C28,IF(P25="Custom Reporting Solution",'⚙️ Rate Card'!C26,0)))))+IF(B25="",0,'⚙️ Rate Card'!C33+(D25/100)*'⚙️ Rate Card'!C34)))*'⚙️ Rate Card'!C36*0.4+(((D25/100)*'⚙️ Rate Card'!C7+F25*'⚙️ Rate Card'!C9+G25*'⚙️ Rate Card'!C10+H25*'⚙️ Rate Card'!C11+I25*'⚙️ Rate Card'!C12+J25*'⚙️ Rate Card'!C13+K25*'⚙️ Rate Card'!C14+(D25/100)*'⚙️ Rate Card'!C8+L25*IF(OR(O25="N/A",O25="None",O25=""),0,IF(O25="High",'⚙️ Rate Card'!C20,IF(O25="Medium",'⚙️ Rate Card'!C19,'⚙️ Rate Card'!C18)))+M25*IF(OR(P25="Decommission",P25=""),'⚙️ Rate Card'!C29,IF(P25="EC2 (Lift &amp; Shift)",'⚙️ Rate Card'!C25,IF(P25="AWS QuickSight",'⚙️ Rate Card'!C27,IF(P25="Power BI",'⚙️ Rate Card'!C28,IF(P25="Custom Reporting Solution",'⚙️ Rate Card'!C26,0)))))+IF(B25="",0,'⚙️ Rate Card'!C33+(D25/100)*'⚙️ Rate Card'!C34)))*'⚙️ Rate Card'!C37*0.4)</f>
        <v>0</v>
      </c>
      <c r="AN25" s="38" t="n">
        <f aca="false">IF(B25="",0,AH25+AK25+(M25*IF(OR(P25="Decommission",P25=""),'⚙️ Rate Card'!C29,IF(P25="EC2 (Lift &amp; Shift)",'⚙️ Rate Card'!C25,IF(P25="AWS QuickSight",'⚙️ Rate Card'!C27,IF(P25="Power BI",'⚙️ Rate Card'!C28,IF(P25="Custom Reporting Solution",'⚙️ Rate Card'!C26,0))))))*0.4+(IF(B25="",0,'⚙️ Rate Card'!C33+(D25/100)*'⚙️ Rate Card'!C34))*0.4+AD25+(((D25/100)*'⚙️ Rate Card'!C7+F25*'⚙️ Rate Card'!C9+G25*'⚙️ Rate Card'!C10+H25*'⚙️ Rate Card'!C11+I25*'⚙️ Rate Card'!C12+J25*'⚙️ Rate Card'!C13+K25*'⚙️ Rate Card'!C14+(D25/100)*'⚙️ Rate Card'!C8+L25*IF(OR(O25="N/A",O25="None",O25=""),0,IF(O25="High",'⚙️ Rate Card'!C20,IF(O25="Medium",'⚙️ Rate Card'!C19,'⚙️ Rate Card'!C18)))+M25*IF(OR(P25="Decommission",P25=""),'⚙️ Rate Card'!C29,IF(P25="EC2 (Lift &amp; Shift)",'⚙️ Rate Card'!C25,IF(P25="AWS QuickSight",'⚙️ Rate Card'!C27,IF(P25="Power BI",'⚙️ Rate Card'!C28,IF(P25="Custom Reporting Solution",'⚙️ Rate Card'!C26,0)))))+IF(B25="",0,'⚙️ Rate Card'!C33+(D25/100)*'⚙️ Rate Card'!C34)))*'⚙️ Rate Card'!C35*0.4+(((D25/100)*'⚙️ Rate Card'!C7+F25*'⚙️ Rate Card'!C9+G25*'⚙️ Rate Card'!C10+H25*'⚙️ Rate Card'!C11+I25*'⚙️ Rate Card'!C12+J25*'⚙️ Rate Card'!C13+K25*'⚙️ Rate Card'!C14+(D25/100)*'⚙️ Rate Card'!C8+L25*IF(OR(O25="N/A",O25="None",O25=""),0,IF(O25="High",'⚙️ Rate Card'!C20,IF(O25="Medium",'⚙️ Rate Card'!C19,'⚙️ Rate Card'!C18)))+M25*IF(OR(P25="Decommission",P25=""),'⚙️ Rate Card'!C29,IF(P25="EC2 (Lift &amp; Shift)",'⚙️ Rate Card'!C25,IF(P25="AWS QuickSight",'⚙️ Rate Card'!C27,IF(P25="Power BI",'⚙️ Rate Card'!C28,IF(P25="Custom Reporting Solution",'⚙️ Rate Card'!C26,0)))))+IF(B25="",0,'⚙️ Rate Card'!C33+(D25/100)*'⚙️ Rate Card'!C34)))*'⚙️ Rate Card'!C36*0.4+(((D25/100)*'⚙️ Rate Card'!C7+F25*'⚙️ Rate Card'!C9+G25*'⚙️ Rate Card'!C10+H25*'⚙️ Rate Card'!C11+I25*'⚙️ Rate Card'!C12+J25*'⚙️ Rate Card'!C13+K25*'⚙️ Rate Card'!C14+(D25/100)*'⚙️ Rate Card'!C8+L25*IF(OR(O25="N/A",O25="None",O25=""),0,IF(O25="High",'⚙️ Rate Card'!C20,IF(O25="Medium",'⚙️ Rate Card'!C19,'⚙️ Rate Card'!C18)))+M25*IF(OR(P25="Decommission",P25=""),'⚙️ Rate Card'!C29,IF(P25="EC2 (Lift &amp; Shift)",'⚙️ Rate Card'!C25,IF(P25="AWS QuickSight",'⚙️ Rate Card'!C27,IF(P25="Power BI",'⚙️ Rate Card'!C28,IF(P25="Custom Reporting Solution",'⚙️ Rate Card'!C26,0)))))+IF(B25="",0,'⚙️ Rate Card'!C33+(D25/100)*'⚙️ Rate Card'!C34)))*'⚙️ Rate Card'!C37*0.4)</f>
        <v>0</v>
      </c>
      <c r="AO25" s="39" t="n">
        <f aca="false">IF(B25="",0,AI25+AL25+(M25*IF(OR(P25="Decommission",P25=""),'⚙️ Rate Card'!C29,IF(P25="EC2 (Lift &amp; Shift)",'⚙️ Rate Card'!C25,IF(P25="AWS QuickSight",'⚙️ Rate Card'!C27,IF(P25="Power BI",'⚙️ Rate Card'!C28,IF(P25="Custom Reporting Solution",'⚙️ Rate Card'!C26,0))))))*0.2+(IF(B25="",0,'⚙️ Rate Card'!C33+(D25/100)*'⚙️ Rate Card'!C34))*0.2+AE25+(((D25/100)*'⚙️ Rate Card'!C7+F25*'⚙️ Rate Card'!C9+G25*'⚙️ Rate Card'!C10+H25*'⚙️ Rate Card'!C11+I25*'⚙️ Rate Card'!C12+J25*'⚙️ Rate Card'!C13+K25*'⚙️ Rate Card'!C14+(D25/100)*'⚙️ Rate Card'!C8+L25*IF(OR(O25="N/A",O25="None",O25=""),0,IF(O25="High",'⚙️ Rate Card'!C20,IF(O25="Medium",'⚙️ Rate Card'!C19,'⚙️ Rate Card'!C18)))+M25*IF(OR(P25="Decommission",P25=""),'⚙️ Rate Card'!C29,IF(P25="EC2 (Lift &amp; Shift)",'⚙️ Rate Card'!C25,IF(P25="AWS QuickSight",'⚙️ Rate Card'!C27,IF(P25="Power BI",'⚙️ Rate Card'!C28,IF(P25="Custom Reporting Solution",'⚙️ Rate Card'!C26,0)))))+IF(B25="",0,'⚙️ Rate Card'!C33+(D25/100)*'⚙️ Rate Card'!C34)))*'⚙️ Rate Card'!C35*0.2+(((D25/100)*'⚙️ Rate Card'!C7+F25*'⚙️ Rate Card'!C9+G25*'⚙️ Rate Card'!C10+H25*'⚙️ Rate Card'!C11+I25*'⚙️ Rate Card'!C12+J25*'⚙️ Rate Card'!C13+K25*'⚙️ Rate Card'!C14+(D25/100)*'⚙️ Rate Card'!C8+L25*IF(OR(O25="N/A",O25="None",O25=""),0,IF(O25="High",'⚙️ Rate Card'!C20,IF(O25="Medium",'⚙️ Rate Card'!C19,'⚙️ Rate Card'!C18)))+M25*IF(OR(P25="Decommission",P25=""),'⚙️ Rate Card'!C29,IF(P25="EC2 (Lift &amp; Shift)",'⚙️ Rate Card'!C25,IF(P25="AWS QuickSight",'⚙️ Rate Card'!C27,IF(P25="Power BI",'⚙️ Rate Card'!C28,IF(P25="Custom Reporting Solution",'⚙️ Rate Card'!C26,0)))))+IF(B25="",0,'⚙️ Rate Card'!C33+(D25/100)*'⚙️ Rate Card'!C34)))*'⚙️ Rate Card'!C36*0.2+(((D25/100)*'⚙️ Rate Card'!C7+F25*'⚙️ Rate Card'!C9+G25*'⚙️ Rate Card'!C10+H25*'⚙️ Rate Card'!C11+I25*'⚙️ Rate Card'!C12+J25*'⚙️ Rate Card'!C13+K25*'⚙️ Rate Card'!C14+(D25/100)*'⚙️ Rate Card'!C8+L25*IF(OR(O25="N/A",O25="None",O25=""),0,IF(O25="High",'⚙️ Rate Card'!C20,IF(O25="Medium",'⚙️ Rate Card'!C19,'⚙️ Rate Card'!C18)))+M25*IF(OR(P25="Decommission",P25=""),'⚙️ Rate Card'!C29,IF(P25="EC2 (Lift &amp; Shift)",'⚙️ Rate Card'!C25,IF(P25="AWS QuickSight",'⚙️ Rate Card'!C27,IF(P25="Power BI",'⚙️ Rate Card'!C28,IF(P25="Custom Reporting Solution",'⚙️ Rate Card'!C26,0)))))+IF(B25="",0,'⚙️ Rate Card'!C33+(D25/100)*'⚙️ Rate Card'!C34)))*'⚙️ Rate Card'!C37*0.2)</f>
        <v>0</v>
      </c>
      <c r="AP25" s="42" t="n">
        <f aca="false">'✏️ SME Input'!B26</f>
        <v>0</v>
      </c>
      <c r="AQ25" s="42" t="n">
        <f aca="false">'✏️ SME Input'!C26</f>
        <v>0</v>
      </c>
      <c r="AR25" s="42" t="n">
        <f aca="false">'✏️ SME Input'!D26</f>
        <v>0</v>
      </c>
    </row>
    <row r="26" customFormat="false" ht="18" hidden="false" customHeight="true" outlineLevel="0" collapsed="false">
      <c r="B26" s="30" t="n">
        <f aca="false">'✏️ SME Input'!E27</f>
        <v>0</v>
      </c>
      <c r="C26" s="31" t="str">
        <f aca="false">IF(B26="","",IF(D26&gt;1000,"T3 Complex",IF(D26&gt;500,"T2 Moderate","T1 Simple")))</f>
        <v/>
      </c>
      <c r="D26" s="32" t="n">
        <f aca="false">'✏️ SME Input'!G27</f>
        <v>0</v>
      </c>
      <c r="E26" s="32" t="n">
        <f aca="false">'✏️ SME Input'!H27</f>
        <v>0</v>
      </c>
      <c r="F26" s="32" t="n">
        <f aca="false">'✏️ SME Input'!I27</f>
        <v>0</v>
      </c>
      <c r="G26" s="32" t="n">
        <f aca="false">'✏️ SME Input'!J27</f>
        <v>0</v>
      </c>
      <c r="H26" s="32" t="n">
        <f aca="false">'✏️ SME Input'!K27</f>
        <v>0</v>
      </c>
      <c r="I26" s="32" t="n">
        <f aca="false">'✏️ SME Input'!L27</f>
        <v>0</v>
      </c>
      <c r="J26" s="32" t="n">
        <f aca="false">'✏️ SME Input'!M27</f>
        <v>0</v>
      </c>
      <c r="K26" s="32" t="n">
        <f aca="false">'✏️ SME Input'!N27</f>
        <v>0</v>
      </c>
      <c r="L26" s="32" t="n">
        <f aca="false">'✏️ SME Input'!O27</f>
        <v>0</v>
      </c>
      <c r="M26" s="32" t="n">
        <f aca="false">'✏️ SME Input'!P27</f>
        <v>0</v>
      </c>
      <c r="N26" s="17" t="n">
        <f aca="false">'✏️ SME Input'!Q27</f>
        <v>0</v>
      </c>
      <c r="O26" s="33" t="n">
        <f aca="false">'✏️ SME Input'!R27</f>
        <v>0</v>
      </c>
      <c r="P26" s="33" t="n">
        <f aca="false">'✏️ SME Input'!S27</f>
        <v>0</v>
      </c>
      <c r="Q26" s="32" t="n">
        <f aca="false">'✏️ SME Input'!F27</f>
        <v>0</v>
      </c>
      <c r="R26" s="34" t="n">
        <f aca="false">IF(B26="",0,((D26/100)*'⚙️ Rate Card'!C7+F26*'⚙️ Rate Card'!C9+G26*'⚙️ Rate Card'!C10+H26*'⚙️ Rate Card'!C11+I26*'⚙️ Rate Card'!C12+J26*'⚙️ Rate Card'!C13+K26*'⚙️ Rate Card'!C14+(D26/100)*'⚙️ Rate Card'!C8+L26*IF(OR(O26="N/A",O26="None",O26=""),0,IF(O26="High",'⚙️ Rate Card'!C20,IF(O26="Medium",'⚙️ Rate Card'!C19,'⚙️ Rate Card'!C18)))+M26*IF(OR(P26="Decommission",P26=""),'⚙️ Rate Card'!C29,IF(P26="EC2 (Lift &amp; Shift)",'⚙️ Rate Card'!C25,IF(P26="AWS QuickSight",'⚙️ Rate Card'!C27,IF(P26="Power BI",'⚙️ Rate Card'!C28,IF(P26="Custom Reporting Solution",'⚙️ Rate Card'!C26,0)))))+IF(B26="",0,'⚙️ Rate Card'!C33+(D26/100)*'⚙️ Rate Card'!C34))*'⚙️ Rate Card'!C37+(D26/100)*'⚙️ Rate Card'!C7+F26*'⚙️ Rate Card'!C9+G26*'⚙️ Rate Card'!C10+H26*'⚙️ Rate Card'!C11+I26*'⚙️ Rate Card'!C12+J26*'⚙️ Rate Card'!C13+K26*'⚙️ Rate Card'!C14+(D26/100)*'⚙️ Rate Card'!C8+(D26/100)*'⚙️ Rate Card'!C8+L26*IF(OR(O26="N/A",O26="None",O26=""),0,IF(O26="High",'⚙️ Rate Card'!C20,IF(O26="Medium",'⚙️ Rate Card'!C19,'⚙️ Rate Card'!C18)))+M26*IF(OR(P26="Decommission",P26=""),'⚙️ Rate Card'!C29,IF(P26="EC2 (Lift &amp; Shift)",'⚙️ Rate Card'!C25,IF(P26="AWS QuickSight",'⚙️ Rate Card'!C27,IF(P26="Power BI",'⚙️ Rate Card'!C28,IF(P26="Custom Reporting Solution",'⚙️ Rate Card'!C26,0)))))+IF(B26="",0,'⚙️ Rate Card'!C33+(D26/100)*'⚙️ Rate Card'!C34)+((D26/100)*'⚙️ Rate Card'!C7+F26*'⚙️ Rate Card'!C9+G26*'⚙️ Rate Card'!C10+H26*'⚙️ Rate Card'!C11+I26*'⚙️ Rate Card'!C12+J26*'⚙️ Rate Card'!C13+K26*'⚙️ Rate Card'!C14+(D26/100)*'⚙️ Rate Card'!C8+L26*IF(OR(O26="N/A",O26="None",O26=""),0,IF(O26="High",'⚙️ Rate Card'!C20,IF(O26="Medium",'⚙️ Rate Card'!C19,'⚙️ Rate Card'!C18)))+M26*IF(OR(P26="Decommission",P26=""),'⚙️ Rate Card'!C29,IF(P26="EC2 (Lift &amp; Shift)",'⚙️ Rate Card'!C25,IF(P26="AWS QuickSight",'⚙️ Rate Card'!C27,IF(P26="Power BI",'⚙️ Rate Card'!C28,IF(P26="Custom Reporting Solution",'⚙️ Rate Card'!C26,0)))))+IF(B26="",0,'⚙️ Rate Card'!C33+(D26/100)*'⚙️ Rate Card'!C34))*'⚙️ Rate Card'!C35+((D26/100)*'⚙️ Rate Card'!C7+F26*'⚙️ Rate Card'!C9+G26*'⚙️ Rate Card'!C10+H26*'⚙️ Rate Card'!C11+I26*'⚙️ Rate Card'!C12+J26*'⚙️ Rate Card'!C13+K26*'⚙️ Rate Card'!C14+(D26/100)*'⚙️ Rate Card'!C8+L26*IF(OR(O26="N/A",O26="None",O26=""),0,IF(O26="High",'⚙️ Rate Card'!C20,IF(O26="Medium",'⚙️ Rate Card'!C19,'⚙️ Rate Card'!C18)))+M26*IF(OR(P26="Decommission",P26=""),'⚙️ Rate Card'!C29,IF(P26="EC2 (Lift &amp; Shift)",'⚙️ Rate Card'!C25,IF(P26="AWS QuickSight",'⚙️ Rate Card'!C27,IF(P26="Power BI",'⚙️ Rate Card'!C28,IF(P26="Custom Reporting Solution",'⚙️ Rate Card'!C26,0)))))+IF(B26="",0,'⚙️ Rate Card'!C33+(D26/100)*'⚙️ Rate Card'!C34))*'⚙️ Rate Card'!C36)</f>
        <v>0</v>
      </c>
      <c r="S26" s="34" t="n">
        <f aca="false">IF(B26="",0,(((D26/100)*'⚙️ Rate Card'!C7+F26*'⚙️ Rate Card'!C9+G26*'⚙️ Rate Card'!C10+H26*'⚙️ Rate Card'!C11+I26*'⚙️ Rate Card'!C12+J26*'⚙️ Rate Card'!C13+K26*'⚙️ Rate Card'!C14+(D26/100)*'⚙️ Rate Card'!C8+L26*IF(OR(O26="N/A",O26="None",O26=""),0,IF(O26="High",'⚙️ Rate Card'!C20,IF(O26="Medium",'⚙️ Rate Card'!C19,'⚙️ Rate Card'!C18)))+M26*IF(OR(P26="Decommission",P26=""),'⚙️ Rate Card'!C29,IF(P26="EC2 (Lift &amp; Shift)",'⚙️ Rate Card'!C25,IF(P26="AWS QuickSight",'⚙️ Rate Card'!C27,IF(P26="Power BI",'⚙️ Rate Card'!C28,IF(P26="Custom Reporting Solution",'⚙️ Rate Card'!C26,0)))))+IF(B26="",0,'⚙️ Rate Card'!C33+(D26/100)*'⚙️ Rate Card'!C34))*'⚙️ Rate Card'!C37)*(1-'📊 Dashboard'!C10/100)+(((D26/100)*'⚙️ Rate Card'!C7+F26*'⚙️ Rate Card'!C9+G26*'⚙️ Rate Card'!C10+H26*'⚙️ Rate Card'!C11+I26*'⚙️ Rate Card'!C12+J26*'⚙️ Rate Card'!C13+K26*'⚙️ Rate Card'!C14+(D26/100)*'⚙️ Rate Card'!C8+(D26/100)*'⚙️ Rate Card'!C8))*(1-'📊 Dashboard'!C10/100)+(L26*IF(OR(O26="N/A",O26="None",O26=""),0,IF(O26="High",'⚙️ Rate Card'!C20,IF(O26="Medium",'⚙️ Rate Card'!C19,'⚙️ Rate Card'!C18))))*(1-'📊 Dashboard'!C11/100)+(M26*IF(OR(P26="Decommission",P26=""),'⚙️ Rate Card'!C29,IF(P26="EC2 (Lift &amp; Shift)",'⚙️ Rate Card'!C25,IF(P26="AWS QuickSight",'⚙️ Rate Card'!C27,IF(P26="Power BI",'⚙️ Rate Card'!C28,IF(P26="Custom Reporting Solution",'⚙️ Rate Card'!C26,0))))))*(1-'📊 Dashboard'!C12/100)+(IF(B26="",0,'⚙️ Rate Card'!C33+(D26/100)*'⚙️ Rate Card'!C34))*(1-'📊 Dashboard'!C10/100)+(((D26/100)*'⚙️ Rate Card'!C7+F26*'⚙️ Rate Card'!C9+G26*'⚙️ Rate Card'!C10+H26*'⚙️ Rate Card'!C11+I26*'⚙️ Rate Card'!C12+J26*'⚙️ Rate Card'!C13+K26*'⚙️ Rate Card'!C14+(D26/100)*'⚙️ Rate Card'!C8+L26*IF(OR(O26="N/A",O26="None",O26=""),0,IF(O26="High",'⚙️ Rate Card'!C20,IF(O26="Medium",'⚙️ Rate Card'!C19,'⚙️ Rate Card'!C18)))+M26*IF(OR(P26="Decommission",P26=""),'⚙️ Rate Card'!C29,IF(P26="EC2 (Lift &amp; Shift)",'⚙️ Rate Card'!C25,IF(P26="AWS QuickSight",'⚙️ Rate Card'!C27,IF(P26="Power BI",'⚙️ Rate Card'!C28,IF(P26="Custom Reporting Solution",'⚙️ Rate Card'!C26,0)))))+IF(B26="",0,'⚙️ Rate Card'!C33+(D26/100)*'⚙️ Rate Card'!C34))*'⚙️ Rate Card'!C35)*(1-'📊 Dashboard'!C13/100)+(((D26/100)*'⚙️ Rate Card'!C7+F26*'⚙️ Rate Card'!C9+G26*'⚙️ Rate Card'!C10+H26*'⚙️ Rate Card'!C11+I26*'⚙️ Rate Card'!C12+J26*'⚙️ Rate Card'!C13+K26*'⚙️ Rate Card'!C14+(D26/100)*'⚙️ Rate Card'!C8+L26*IF(OR(O26="N/A",O26="None",O26=""),0,IF(O26="High",'⚙️ Rate Card'!C20,IF(O26="Medium",'⚙️ Rate Card'!C19,'⚙️ Rate Card'!C18)))+M26*IF(OR(P26="Decommission",P26=""),'⚙️ Rate Card'!C29,IF(P26="EC2 (Lift &amp; Shift)",'⚙️ Rate Card'!C25,IF(P26="AWS QuickSight",'⚙️ Rate Card'!C27,IF(P26="Power BI",'⚙️ Rate Card'!C28,IF(P26="Custom Reporting Solution",'⚙️ Rate Card'!C26,0)))))+IF(B26="",0,'⚙️ Rate Card'!C33+(D26/100)*'⚙️ Rate Card'!C34))*'⚙️ Rate Card'!C36)*(1-'📊 Dashboard'!C10/100))</f>
        <v>0</v>
      </c>
      <c r="T26" s="35" t="n">
        <f aca="false">IF(B26="",0,S26*(1+'📊 Dashboard'!C14/100))</f>
        <v>0</v>
      </c>
      <c r="U26" s="36" t="n">
        <f aca="false">IF(B26="",0,((D26/100)*'⚙️ Rate Card'!C7+F26*'⚙️ Rate Card'!C9+G26*'⚙️ Rate Card'!C10+H26*'⚙️ Rate Card'!C11+I26*'⚙️ Rate Card'!C12+J26*'⚙️ Rate Card'!C13+K26*'⚙️ Rate Card'!C14+(D26/100)*'⚙️ Rate Card'!C8+L26*IF(OR(O26="N/A",O26="None",O26=""),0,IF(O26="High",'⚙️ Rate Card'!C20,IF(O26="Medium",'⚙️ Rate Card'!C19,'⚙️ Rate Card'!C18)))+M26*IF(OR(P26="Decommission",P26=""),'⚙️ Rate Card'!C29,IF(P26="EC2 (Lift &amp; Shift)",'⚙️ Rate Card'!C25,IF(P26="AWS QuickSight",'⚙️ Rate Card'!C27,IF(P26="Power BI",'⚙️ Rate Card'!C28,IF(P26="Custom Reporting Solution",'⚙️ Rate Card'!C26,0)))))+IF(B26="",0,'⚙️ Rate Card'!C33+(D26/100)*'⚙️ Rate Card'!C34))*'⚙️ Rate Card'!C37)</f>
        <v>0</v>
      </c>
      <c r="V26" s="36" t="n">
        <f aca="false">IF(B26="",0,(D26/100)*'⚙️ Rate Card'!C7+F26*'⚙️ Rate Card'!C9+G26*'⚙️ Rate Card'!C10+H26*'⚙️ Rate Card'!C11+I26*'⚙️ Rate Card'!C12+J26*'⚙️ Rate Card'!C13+K26*'⚙️ Rate Card'!C14+(D26/100)*'⚙️ Rate Card'!C8+(D26/100)*'⚙️ Rate Card'!C8)</f>
        <v>0</v>
      </c>
      <c r="W26" s="36" t="n">
        <f aca="false">IF(B26="",0,L26*IF(OR(O26="N/A",O26="None",O26=""),0,IF(O26="High",'⚙️ Rate Card'!C20,IF(O26="Medium",'⚙️ Rate Card'!C19,'⚙️ Rate Card'!C18))))</f>
        <v>0</v>
      </c>
      <c r="X26" s="36" t="n">
        <f aca="false">IF(B26="",0,M26*IF(OR(P26="Decommission",P26=""),'⚙️ Rate Card'!C29,IF(P26="EC2 (Lift &amp; Shift)",'⚙️ Rate Card'!C25,IF(P26="AWS QuickSight",'⚙️ Rate Card'!C27,IF(P26="Power BI",'⚙️ Rate Card'!C28,IF(P26="Custom Reporting Solution",'⚙️ Rate Card'!C26,0))))))</f>
        <v>0</v>
      </c>
      <c r="Y26" s="36" t="n">
        <f aca="false">IF(B26="",0,IF(B26="",0,'⚙️ Rate Card'!C33+(D26/100)*'⚙️ Rate Card'!C34))</f>
        <v>0</v>
      </c>
      <c r="Z26" s="36" t="n">
        <f aca="false">IF(B26="",0,((D26/100)*'⚙️ Rate Card'!C7+F26*'⚙️ Rate Card'!C9+G26*'⚙️ Rate Card'!C10+H26*'⚙️ Rate Card'!C11+I26*'⚙️ Rate Card'!C12+J26*'⚙️ Rate Card'!C13+K26*'⚙️ Rate Card'!C14+(D26/100)*'⚙️ Rate Card'!C8+L26*IF(OR(O26="N/A",O26="None",O26=""),0,IF(O26="High",'⚙️ Rate Card'!C20,IF(O26="Medium",'⚙️ Rate Card'!C19,'⚙️ Rate Card'!C18)))+M26*IF(OR(P26="Decommission",P26=""),'⚙️ Rate Card'!C29,IF(P26="EC2 (Lift &amp; Shift)",'⚙️ Rate Card'!C25,IF(P26="AWS QuickSight",'⚙️ Rate Card'!C27,IF(P26="Power BI",'⚙️ Rate Card'!C28,IF(P26="Custom Reporting Solution",'⚙️ Rate Card'!C26,0)))))+IF(B26="",0,'⚙️ Rate Card'!C33+(D26/100)*'⚙️ Rate Card'!C34))*'⚙️ Rate Card'!C35)</f>
        <v>0</v>
      </c>
      <c r="AA26" s="36" t="n">
        <f aca="false">IF(B26="",0,((D26/100)*'⚙️ Rate Card'!C7+F26*'⚙️ Rate Card'!C9+G26*'⚙️ Rate Card'!C10+H26*'⚙️ Rate Card'!C11+I26*'⚙️ Rate Card'!C12+J26*'⚙️ Rate Card'!C13+K26*'⚙️ Rate Card'!C14+(D26/100)*'⚙️ Rate Card'!C8+L26*IF(OR(O26="N/A",O26="None",O26=""),0,IF(O26="High",'⚙️ Rate Card'!C20,IF(O26="Medium",'⚙️ Rate Card'!C19,'⚙️ Rate Card'!C18)))+M26*IF(OR(P26="Decommission",P26=""),'⚙️ Rate Card'!C29,IF(P26="EC2 (Lift &amp; Shift)",'⚙️ Rate Card'!C25,IF(P26="AWS QuickSight",'⚙️ Rate Card'!C27,IF(P26="Power BI",'⚙️ Rate Card'!C28,IF(P26="Custom Reporting Solution",'⚙️ Rate Card'!C26,0)))))+IF(B26="",0,'⚙️ Rate Card'!C33+(D26/100)*'⚙️ Rate Card'!C34))*'⚙️ Rate Card'!C36)</f>
        <v>0</v>
      </c>
      <c r="AB26" s="37" t="n">
        <f aca="false">'✏️ SME Input'!T27</f>
        <v>0</v>
      </c>
      <c r="AC26" s="36" t="n">
        <f aca="false">IF(B26="",0,AB26*0.75)</f>
        <v>0</v>
      </c>
      <c r="AD26" s="36" t="n">
        <f aca="false">IF(B26="",0,AB26*0.75)</f>
        <v>0</v>
      </c>
      <c r="AE26" s="36" t="n">
        <f aca="false">IF(B26="",0,AB26*0.75)</f>
        <v>0</v>
      </c>
      <c r="AF26" s="36" t="n">
        <f aca="false">IF(B26="",0,AB26*2.25)</f>
        <v>0</v>
      </c>
      <c r="AG26" s="36" t="n">
        <f aca="false">IF(B26="",0,((D26/100)*'⚙️ Rate Card'!C7+F26*'⚙️ Rate Card'!C9+G26*'⚙️ Rate Card'!C10+H26*'⚙️ Rate Card'!C11+I26*'⚙️ Rate Card'!C12+J26*'⚙️ Rate Card'!C13+K26*'⚙️ Rate Card'!C14+(D26/100)*'⚙️ Rate Card'!C8)*0.4)</f>
        <v>0</v>
      </c>
      <c r="AH26" s="36" t="n">
        <f aca="false">IF(B26="",0,((D26/100)*'⚙️ Rate Card'!C7+F26*'⚙️ Rate Card'!C9+G26*'⚙️ Rate Card'!C10+H26*'⚙️ Rate Card'!C11+I26*'⚙️ Rate Card'!C12+J26*'⚙️ Rate Card'!C13+K26*'⚙️ Rate Card'!C14+(D26/100)*'⚙️ Rate Card'!C8)*0.4)</f>
        <v>0</v>
      </c>
      <c r="AI26" s="36" t="n">
        <f aca="false">IF(B26="",0,((D26/100)*'⚙️ Rate Card'!C7+F26*'⚙️ Rate Card'!C9+G26*'⚙️ Rate Card'!C10+H26*'⚙️ Rate Card'!C11+I26*'⚙️ Rate Card'!C12+J26*'⚙️ Rate Card'!C13+K26*'⚙️ Rate Card'!C14+(D26/100)*'⚙️ Rate Card'!C8)*0.2)</f>
        <v>0</v>
      </c>
      <c r="AJ26" s="36" t="n">
        <f aca="false">IF(B26="",0,(L26*IF(OR(O26="N/A",O26="None",O26=""),0,IF(O26="High",'⚙️ Rate Card'!C20,IF(O26="Medium",'⚙️ Rate Card'!C19,'⚙️ Rate Card'!C18))))*0.5)</f>
        <v>0</v>
      </c>
      <c r="AK26" s="36" t="n">
        <f aca="false">IF(B26="",0,(L26*IF(OR(O26="N/A",O26="None",O26=""),0,IF(O26="High",'⚙️ Rate Card'!C20,IF(O26="Medium",'⚙️ Rate Card'!C19,'⚙️ Rate Card'!C18))))*0.35)</f>
        <v>0</v>
      </c>
      <c r="AL26" s="36" t="n">
        <f aca="false">IF(B26="",0,(L26*IF(OR(O26="N/A",O26="None",O26=""),0,IF(O26="High",'⚙️ Rate Card'!C20,IF(O26="Medium",'⚙️ Rate Card'!C19,'⚙️ Rate Card'!C18))))*0.15)</f>
        <v>0</v>
      </c>
      <c r="AM26" s="35" t="n">
        <f aca="false">IF(B26="",0,AG26+AJ26+(M26*IF(OR(P26="Decommission",P26=""),'⚙️ Rate Card'!C29,IF(P26="EC2 (Lift &amp; Shift)",'⚙️ Rate Card'!C25,IF(P26="AWS QuickSight",'⚙️ Rate Card'!C27,IF(P26="Power BI",'⚙️ Rate Card'!C28,IF(P26="Custom Reporting Solution",'⚙️ Rate Card'!C26,0))))))*0.4+(IF(B26="",0,'⚙️ Rate Card'!C33+(D26/100)*'⚙️ Rate Card'!C34))*0.4+AC26+(((D26/100)*'⚙️ Rate Card'!C7+F26*'⚙️ Rate Card'!C9+G26*'⚙️ Rate Card'!C10+H26*'⚙️ Rate Card'!C11+I26*'⚙️ Rate Card'!C12+J26*'⚙️ Rate Card'!C13+K26*'⚙️ Rate Card'!C14+(D26/100)*'⚙️ Rate Card'!C8+L26*IF(OR(O26="N/A",O26="None",O26=""),0,IF(O26="High",'⚙️ Rate Card'!C20,IF(O26="Medium",'⚙️ Rate Card'!C19,'⚙️ Rate Card'!C18)))+M26*IF(OR(P26="Decommission",P26=""),'⚙️ Rate Card'!C29,IF(P26="EC2 (Lift &amp; Shift)",'⚙️ Rate Card'!C25,IF(P26="AWS QuickSight",'⚙️ Rate Card'!C27,IF(P26="Power BI",'⚙️ Rate Card'!C28,IF(P26="Custom Reporting Solution",'⚙️ Rate Card'!C26,0)))))+IF(B26="",0,'⚙️ Rate Card'!C33+(D26/100)*'⚙️ Rate Card'!C34)))*'⚙️ Rate Card'!C35*0.4+(((D26/100)*'⚙️ Rate Card'!C7+F26*'⚙️ Rate Card'!C9+G26*'⚙️ Rate Card'!C10+H26*'⚙️ Rate Card'!C11+I26*'⚙️ Rate Card'!C12+J26*'⚙️ Rate Card'!C13+K26*'⚙️ Rate Card'!C14+(D26/100)*'⚙️ Rate Card'!C8+L26*IF(OR(O26="N/A",O26="None",O26=""),0,IF(O26="High",'⚙️ Rate Card'!C20,IF(O26="Medium",'⚙️ Rate Card'!C19,'⚙️ Rate Card'!C18)))+M26*IF(OR(P26="Decommission",P26=""),'⚙️ Rate Card'!C29,IF(P26="EC2 (Lift &amp; Shift)",'⚙️ Rate Card'!C25,IF(P26="AWS QuickSight",'⚙️ Rate Card'!C27,IF(P26="Power BI",'⚙️ Rate Card'!C28,IF(P26="Custom Reporting Solution",'⚙️ Rate Card'!C26,0)))))+IF(B26="",0,'⚙️ Rate Card'!C33+(D26/100)*'⚙️ Rate Card'!C34)))*'⚙️ Rate Card'!C36*0.4+(((D26/100)*'⚙️ Rate Card'!C7+F26*'⚙️ Rate Card'!C9+G26*'⚙️ Rate Card'!C10+H26*'⚙️ Rate Card'!C11+I26*'⚙️ Rate Card'!C12+J26*'⚙️ Rate Card'!C13+K26*'⚙️ Rate Card'!C14+(D26/100)*'⚙️ Rate Card'!C8+L26*IF(OR(O26="N/A",O26="None",O26=""),0,IF(O26="High",'⚙️ Rate Card'!C20,IF(O26="Medium",'⚙️ Rate Card'!C19,'⚙️ Rate Card'!C18)))+M26*IF(OR(P26="Decommission",P26=""),'⚙️ Rate Card'!C29,IF(P26="EC2 (Lift &amp; Shift)",'⚙️ Rate Card'!C25,IF(P26="AWS QuickSight",'⚙️ Rate Card'!C27,IF(P26="Power BI",'⚙️ Rate Card'!C28,IF(P26="Custom Reporting Solution",'⚙️ Rate Card'!C26,0)))))+IF(B26="",0,'⚙️ Rate Card'!C33+(D26/100)*'⚙️ Rate Card'!C34)))*'⚙️ Rate Card'!C37*0.4)</f>
        <v>0</v>
      </c>
      <c r="AN26" s="38" t="n">
        <f aca="false">IF(B26="",0,AH26+AK26+(M26*IF(OR(P26="Decommission",P26=""),'⚙️ Rate Card'!C29,IF(P26="EC2 (Lift &amp; Shift)",'⚙️ Rate Card'!C25,IF(P26="AWS QuickSight",'⚙️ Rate Card'!C27,IF(P26="Power BI",'⚙️ Rate Card'!C28,IF(P26="Custom Reporting Solution",'⚙️ Rate Card'!C26,0))))))*0.4+(IF(B26="",0,'⚙️ Rate Card'!C33+(D26/100)*'⚙️ Rate Card'!C34))*0.4+AD26+(((D26/100)*'⚙️ Rate Card'!C7+F26*'⚙️ Rate Card'!C9+G26*'⚙️ Rate Card'!C10+H26*'⚙️ Rate Card'!C11+I26*'⚙️ Rate Card'!C12+J26*'⚙️ Rate Card'!C13+K26*'⚙️ Rate Card'!C14+(D26/100)*'⚙️ Rate Card'!C8+L26*IF(OR(O26="N/A",O26="None",O26=""),0,IF(O26="High",'⚙️ Rate Card'!C20,IF(O26="Medium",'⚙️ Rate Card'!C19,'⚙️ Rate Card'!C18)))+M26*IF(OR(P26="Decommission",P26=""),'⚙️ Rate Card'!C29,IF(P26="EC2 (Lift &amp; Shift)",'⚙️ Rate Card'!C25,IF(P26="AWS QuickSight",'⚙️ Rate Card'!C27,IF(P26="Power BI",'⚙️ Rate Card'!C28,IF(P26="Custom Reporting Solution",'⚙️ Rate Card'!C26,0)))))+IF(B26="",0,'⚙️ Rate Card'!C33+(D26/100)*'⚙️ Rate Card'!C34)))*'⚙️ Rate Card'!C35*0.4+(((D26/100)*'⚙️ Rate Card'!C7+F26*'⚙️ Rate Card'!C9+G26*'⚙️ Rate Card'!C10+H26*'⚙️ Rate Card'!C11+I26*'⚙️ Rate Card'!C12+J26*'⚙️ Rate Card'!C13+K26*'⚙️ Rate Card'!C14+(D26/100)*'⚙️ Rate Card'!C8+L26*IF(OR(O26="N/A",O26="None",O26=""),0,IF(O26="High",'⚙️ Rate Card'!C20,IF(O26="Medium",'⚙️ Rate Card'!C19,'⚙️ Rate Card'!C18)))+M26*IF(OR(P26="Decommission",P26=""),'⚙️ Rate Card'!C29,IF(P26="EC2 (Lift &amp; Shift)",'⚙️ Rate Card'!C25,IF(P26="AWS QuickSight",'⚙️ Rate Card'!C27,IF(P26="Power BI",'⚙️ Rate Card'!C28,IF(P26="Custom Reporting Solution",'⚙️ Rate Card'!C26,0)))))+IF(B26="",0,'⚙️ Rate Card'!C33+(D26/100)*'⚙️ Rate Card'!C34)))*'⚙️ Rate Card'!C36*0.4+(((D26/100)*'⚙️ Rate Card'!C7+F26*'⚙️ Rate Card'!C9+G26*'⚙️ Rate Card'!C10+H26*'⚙️ Rate Card'!C11+I26*'⚙️ Rate Card'!C12+J26*'⚙️ Rate Card'!C13+K26*'⚙️ Rate Card'!C14+(D26/100)*'⚙️ Rate Card'!C8+L26*IF(OR(O26="N/A",O26="None",O26=""),0,IF(O26="High",'⚙️ Rate Card'!C20,IF(O26="Medium",'⚙️ Rate Card'!C19,'⚙️ Rate Card'!C18)))+M26*IF(OR(P26="Decommission",P26=""),'⚙️ Rate Card'!C29,IF(P26="EC2 (Lift &amp; Shift)",'⚙️ Rate Card'!C25,IF(P26="AWS QuickSight",'⚙️ Rate Card'!C27,IF(P26="Power BI",'⚙️ Rate Card'!C28,IF(P26="Custom Reporting Solution",'⚙️ Rate Card'!C26,0)))))+IF(B26="",0,'⚙️ Rate Card'!C33+(D26/100)*'⚙️ Rate Card'!C34)))*'⚙️ Rate Card'!C37*0.4)</f>
        <v>0</v>
      </c>
      <c r="AO26" s="39" t="n">
        <f aca="false">IF(B26="",0,AI26+AL26+(M26*IF(OR(P26="Decommission",P26=""),'⚙️ Rate Card'!C29,IF(P26="EC2 (Lift &amp; Shift)",'⚙️ Rate Card'!C25,IF(P26="AWS QuickSight",'⚙️ Rate Card'!C27,IF(P26="Power BI",'⚙️ Rate Card'!C28,IF(P26="Custom Reporting Solution",'⚙️ Rate Card'!C26,0))))))*0.2+(IF(B26="",0,'⚙️ Rate Card'!C33+(D26/100)*'⚙️ Rate Card'!C34))*0.2+AE26+(((D26/100)*'⚙️ Rate Card'!C7+F26*'⚙️ Rate Card'!C9+G26*'⚙️ Rate Card'!C10+H26*'⚙️ Rate Card'!C11+I26*'⚙️ Rate Card'!C12+J26*'⚙️ Rate Card'!C13+K26*'⚙️ Rate Card'!C14+(D26/100)*'⚙️ Rate Card'!C8+L26*IF(OR(O26="N/A",O26="None",O26=""),0,IF(O26="High",'⚙️ Rate Card'!C20,IF(O26="Medium",'⚙️ Rate Card'!C19,'⚙️ Rate Card'!C18)))+M26*IF(OR(P26="Decommission",P26=""),'⚙️ Rate Card'!C29,IF(P26="EC2 (Lift &amp; Shift)",'⚙️ Rate Card'!C25,IF(P26="AWS QuickSight",'⚙️ Rate Card'!C27,IF(P26="Power BI",'⚙️ Rate Card'!C28,IF(P26="Custom Reporting Solution",'⚙️ Rate Card'!C26,0)))))+IF(B26="",0,'⚙️ Rate Card'!C33+(D26/100)*'⚙️ Rate Card'!C34)))*'⚙️ Rate Card'!C35*0.2+(((D26/100)*'⚙️ Rate Card'!C7+F26*'⚙️ Rate Card'!C9+G26*'⚙️ Rate Card'!C10+H26*'⚙️ Rate Card'!C11+I26*'⚙️ Rate Card'!C12+J26*'⚙️ Rate Card'!C13+K26*'⚙️ Rate Card'!C14+(D26/100)*'⚙️ Rate Card'!C8+L26*IF(OR(O26="N/A",O26="None",O26=""),0,IF(O26="High",'⚙️ Rate Card'!C20,IF(O26="Medium",'⚙️ Rate Card'!C19,'⚙️ Rate Card'!C18)))+M26*IF(OR(P26="Decommission",P26=""),'⚙️ Rate Card'!C29,IF(P26="EC2 (Lift &amp; Shift)",'⚙️ Rate Card'!C25,IF(P26="AWS QuickSight",'⚙️ Rate Card'!C27,IF(P26="Power BI",'⚙️ Rate Card'!C28,IF(P26="Custom Reporting Solution",'⚙️ Rate Card'!C26,0)))))+IF(B26="",0,'⚙️ Rate Card'!C33+(D26/100)*'⚙️ Rate Card'!C34)))*'⚙️ Rate Card'!C36*0.2+(((D26/100)*'⚙️ Rate Card'!C7+F26*'⚙️ Rate Card'!C9+G26*'⚙️ Rate Card'!C10+H26*'⚙️ Rate Card'!C11+I26*'⚙️ Rate Card'!C12+J26*'⚙️ Rate Card'!C13+K26*'⚙️ Rate Card'!C14+(D26/100)*'⚙️ Rate Card'!C8+L26*IF(OR(O26="N/A",O26="None",O26=""),0,IF(O26="High",'⚙️ Rate Card'!C20,IF(O26="Medium",'⚙️ Rate Card'!C19,'⚙️ Rate Card'!C18)))+M26*IF(OR(P26="Decommission",P26=""),'⚙️ Rate Card'!C29,IF(P26="EC2 (Lift &amp; Shift)",'⚙️ Rate Card'!C25,IF(P26="AWS QuickSight",'⚙️ Rate Card'!C27,IF(P26="Power BI",'⚙️ Rate Card'!C28,IF(P26="Custom Reporting Solution",'⚙️ Rate Card'!C26,0)))))+IF(B26="",0,'⚙️ Rate Card'!C33+(D26/100)*'⚙️ Rate Card'!C34)))*'⚙️ Rate Card'!C37*0.2)</f>
        <v>0</v>
      </c>
      <c r="AP26" s="37" t="n">
        <f aca="false">'✏️ SME Input'!B27</f>
        <v>0</v>
      </c>
      <c r="AQ26" s="37" t="n">
        <f aca="false">'✏️ SME Input'!C27</f>
        <v>0</v>
      </c>
      <c r="AR26" s="37" t="n">
        <f aca="false">'✏️ SME Input'!D27</f>
        <v>0</v>
      </c>
    </row>
    <row r="27" customFormat="false" ht="18" hidden="false" customHeight="true" outlineLevel="0" collapsed="false">
      <c r="B27" s="40" t="n">
        <f aca="false">'✏️ SME Input'!E28</f>
        <v>0</v>
      </c>
      <c r="C27" s="31" t="str">
        <f aca="false">IF(B27="","",IF(D27&gt;1000,"T3 Complex",IF(D27&gt;500,"T2 Moderate","T1 Simple")))</f>
        <v/>
      </c>
      <c r="D27" s="32" t="n">
        <f aca="false">'✏️ SME Input'!G28</f>
        <v>0</v>
      </c>
      <c r="E27" s="32" t="n">
        <f aca="false">'✏️ SME Input'!H28</f>
        <v>0</v>
      </c>
      <c r="F27" s="32" t="n">
        <f aca="false">'✏️ SME Input'!I28</f>
        <v>0</v>
      </c>
      <c r="G27" s="32" t="n">
        <f aca="false">'✏️ SME Input'!J28</f>
        <v>0</v>
      </c>
      <c r="H27" s="32" t="n">
        <f aca="false">'✏️ SME Input'!K28</f>
        <v>0</v>
      </c>
      <c r="I27" s="32" t="n">
        <f aca="false">'✏️ SME Input'!L28</f>
        <v>0</v>
      </c>
      <c r="J27" s="32" t="n">
        <f aca="false">'✏️ SME Input'!M28</f>
        <v>0</v>
      </c>
      <c r="K27" s="32" t="n">
        <f aca="false">'✏️ SME Input'!N28</f>
        <v>0</v>
      </c>
      <c r="L27" s="32" t="n">
        <f aca="false">'✏️ SME Input'!O28</f>
        <v>0</v>
      </c>
      <c r="M27" s="32" t="n">
        <f aca="false">'✏️ SME Input'!P28</f>
        <v>0</v>
      </c>
      <c r="N27" s="17" t="n">
        <f aca="false">'✏️ SME Input'!Q28</f>
        <v>0</v>
      </c>
      <c r="O27" s="33" t="n">
        <f aca="false">'✏️ SME Input'!R28</f>
        <v>0</v>
      </c>
      <c r="P27" s="33" t="n">
        <f aca="false">'✏️ SME Input'!S28</f>
        <v>0</v>
      </c>
      <c r="Q27" s="32" t="n">
        <f aca="false">'✏️ SME Input'!F28</f>
        <v>0</v>
      </c>
      <c r="R27" s="34" t="n">
        <f aca="false">IF(B27="",0,((D27/100)*'⚙️ Rate Card'!C7+F27*'⚙️ Rate Card'!C9+G27*'⚙️ Rate Card'!C10+H27*'⚙️ Rate Card'!C11+I27*'⚙️ Rate Card'!C12+J27*'⚙️ Rate Card'!C13+K27*'⚙️ Rate Card'!C14+(D27/100)*'⚙️ Rate Card'!C8+L27*IF(OR(O27="N/A",O27="None",O27=""),0,IF(O27="High",'⚙️ Rate Card'!C20,IF(O27="Medium",'⚙️ Rate Card'!C19,'⚙️ Rate Card'!C18)))+M27*IF(OR(P27="Decommission",P27=""),'⚙️ Rate Card'!C29,IF(P27="EC2 (Lift &amp; Shift)",'⚙️ Rate Card'!C25,IF(P27="AWS QuickSight",'⚙️ Rate Card'!C27,IF(P27="Power BI",'⚙️ Rate Card'!C28,IF(P27="Custom Reporting Solution",'⚙️ Rate Card'!C26,0)))))+IF(B27="",0,'⚙️ Rate Card'!C33+(D27/100)*'⚙️ Rate Card'!C34))*'⚙️ Rate Card'!C37+(D27/100)*'⚙️ Rate Card'!C7+F27*'⚙️ Rate Card'!C9+G27*'⚙️ Rate Card'!C10+H27*'⚙️ Rate Card'!C11+I27*'⚙️ Rate Card'!C12+J27*'⚙️ Rate Card'!C13+K27*'⚙️ Rate Card'!C14+(D27/100)*'⚙️ Rate Card'!C8+(D27/100)*'⚙️ Rate Card'!C8+L27*IF(OR(O27="N/A",O27="None",O27=""),0,IF(O27="High",'⚙️ Rate Card'!C20,IF(O27="Medium",'⚙️ Rate Card'!C19,'⚙️ Rate Card'!C18)))+M27*IF(OR(P27="Decommission",P27=""),'⚙️ Rate Card'!C29,IF(P27="EC2 (Lift &amp; Shift)",'⚙️ Rate Card'!C25,IF(P27="AWS QuickSight",'⚙️ Rate Card'!C27,IF(P27="Power BI",'⚙️ Rate Card'!C28,IF(P27="Custom Reporting Solution",'⚙️ Rate Card'!C26,0)))))+IF(B27="",0,'⚙️ Rate Card'!C33+(D27/100)*'⚙️ Rate Card'!C34)+((D27/100)*'⚙️ Rate Card'!C7+F27*'⚙️ Rate Card'!C9+G27*'⚙️ Rate Card'!C10+H27*'⚙️ Rate Card'!C11+I27*'⚙️ Rate Card'!C12+J27*'⚙️ Rate Card'!C13+K27*'⚙️ Rate Card'!C14+(D27/100)*'⚙️ Rate Card'!C8+L27*IF(OR(O27="N/A",O27="None",O27=""),0,IF(O27="High",'⚙️ Rate Card'!C20,IF(O27="Medium",'⚙️ Rate Card'!C19,'⚙️ Rate Card'!C18)))+M27*IF(OR(P27="Decommission",P27=""),'⚙️ Rate Card'!C29,IF(P27="EC2 (Lift &amp; Shift)",'⚙️ Rate Card'!C25,IF(P27="AWS QuickSight",'⚙️ Rate Card'!C27,IF(P27="Power BI",'⚙️ Rate Card'!C28,IF(P27="Custom Reporting Solution",'⚙️ Rate Card'!C26,0)))))+IF(B27="",0,'⚙️ Rate Card'!C33+(D27/100)*'⚙️ Rate Card'!C34))*'⚙️ Rate Card'!C35+((D27/100)*'⚙️ Rate Card'!C7+F27*'⚙️ Rate Card'!C9+G27*'⚙️ Rate Card'!C10+H27*'⚙️ Rate Card'!C11+I27*'⚙️ Rate Card'!C12+J27*'⚙️ Rate Card'!C13+K27*'⚙️ Rate Card'!C14+(D27/100)*'⚙️ Rate Card'!C8+L27*IF(OR(O27="N/A",O27="None",O27=""),0,IF(O27="High",'⚙️ Rate Card'!C20,IF(O27="Medium",'⚙️ Rate Card'!C19,'⚙️ Rate Card'!C18)))+M27*IF(OR(P27="Decommission",P27=""),'⚙️ Rate Card'!C29,IF(P27="EC2 (Lift &amp; Shift)",'⚙️ Rate Card'!C25,IF(P27="AWS QuickSight",'⚙️ Rate Card'!C27,IF(P27="Power BI",'⚙️ Rate Card'!C28,IF(P27="Custom Reporting Solution",'⚙️ Rate Card'!C26,0)))))+IF(B27="",0,'⚙️ Rate Card'!C33+(D27/100)*'⚙️ Rate Card'!C34))*'⚙️ Rate Card'!C36)</f>
        <v>0</v>
      </c>
      <c r="S27" s="34" t="n">
        <f aca="false">IF(B27="",0,(((D27/100)*'⚙️ Rate Card'!C7+F27*'⚙️ Rate Card'!C9+G27*'⚙️ Rate Card'!C10+H27*'⚙️ Rate Card'!C11+I27*'⚙️ Rate Card'!C12+J27*'⚙️ Rate Card'!C13+K27*'⚙️ Rate Card'!C14+(D27/100)*'⚙️ Rate Card'!C8+L27*IF(OR(O27="N/A",O27="None",O27=""),0,IF(O27="High",'⚙️ Rate Card'!C20,IF(O27="Medium",'⚙️ Rate Card'!C19,'⚙️ Rate Card'!C18)))+M27*IF(OR(P27="Decommission",P27=""),'⚙️ Rate Card'!C29,IF(P27="EC2 (Lift &amp; Shift)",'⚙️ Rate Card'!C25,IF(P27="AWS QuickSight",'⚙️ Rate Card'!C27,IF(P27="Power BI",'⚙️ Rate Card'!C28,IF(P27="Custom Reporting Solution",'⚙️ Rate Card'!C26,0)))))+IF(B27="",0,'⚙️ Rate Card'!C33+(D27/100)*'⚙️ Rate Card'!C34))*'⚙️ Rate Card'!C37)*(1-'📊 Dashboard'!C10/100)+(((D27/100)*'⚙️ Rate Card'!C7+F27*'⚙️ Rate Card'!C9+G27*'⚙️ Rate Card'!C10+H27*'⚙️ Rate Card'!C11+I27*'⚙️ Rate Card'!C12+J27*'⚙️ Rate Card'!C13+K27*'⚙️ Rate Card'!C14+(D27/100)*'⚙️ Rate Card'!C8+(D27/100)*'⚙️ Rate Card'!C8))*(1-'📊 Dashboard'!C10/100)+(L27*IF(OR(O27="N/A",O27="None",O27=""),0,IF(O27="High",'⚙️ Rate Card'!C20,IF(O27="Medium",'⚙️ Rate Card'!C19,'⚙️ Rate Card'!C18))))*(1-'📊 Dashboard'!C11/100)+(M27*IF(OR(P27="Decommission",P27=""),'⚙️ Rate Card'!C29,IF(P27="EC2 (Lift &amp; Shift)",'⚙️ Rate Card'!C25,IF(P27="AWS QuickSight",'⚙️ Rate Card'!C27,IF(P27="Power BI",'⚙️ Rate Card'!C28,IF(P27="Custom Reporting Solution",'⚙️ Rate Card'!C26,0))))))*(1-'📊 Dashboard'!C12/100)+(IF(B27="",0,'⚙️ Rate Card'!C33+(D27/100)*'⚙️ Rate Card'!C34))*(1-'📊 Dashboard'!C10/100)+(((D27/100)*'⚙️ Rate Card'!C7+F27*'⚙️ Rate Card'!C9+G27*'⚙️ Rate Card'!C10+H27*'⚙️ Rate Card'!C11+I27*'⚙️ Rate Card'!C12+J27*'⚙️ Rate Card'!C13+K27*'⚙️ Rate Card'!C14+(D27/100)*'⚙️ Rate Card'!C8+L27*IF(OR(O27="N/A",O27="None",O27=""),0,IF(O27="High",'⚙️ Rate Card'!C20,IF(O27="Medium",'⚙️ Rate Card'!C19,'⚙️ Rate Card'!C18)))+M27*IF(OR(P27="Decommission",P27=""),'⚙️ Rate Card'!C29,IF(P27="EC2 (Lift &amp; Shift)",'⚙️ Rate Card'!C25,IF(P27="AWS QuickSight",'⚙️ Rate Card'!C27,IF(P27="Power BI",'⚙️ Rate Card'!C28,IF(P27="Custom Reporting Solution",'⚙️ Rate Card'!C26,0)))))+IF(B27="",0,'⚙️ Rate Card'!C33+(D27/100)*'⚙️ Rate Card'!C34))*'⚙️ Rate Card'!C35)*(1-'📊 Dashboard'!C13/100)+(((D27/100)*'⚙️ Rate Card'!C7+F27*'⚙️ Rate Card'!C9+G27*'⚙️ Rate Card'!C10+H27*'⚙️ Rate Card'!C11+I27*'⚙️ Rate Card'!C12+J27*'⚙️ Rate Card'!C13+K27*'⚙️ Rate Card'!C14+(D27/100)*'⚙️ Rate Card'!C8+L27*IF(OR(O27="N/A",O27="None",O27=""),0,IF(O27="High",'⚙️ Rate Card'!C20,IF(O27="Medium",'⚙️ Rate Card'!C19,'⚙️ Rate Card'!C18)))+M27*IF(OR(P27="Decommission",P27=""),'⚙️ Rate Card'!C29,IF(P27="EC2 (Lift &amp; Shift)",'⚙️ Rate Card'!C25,IF(P27="AWS QuickSight",'⚙️ Rate Card'!C27,IF(P27="Power BI",'⚙️ Rate Card'!C28,IF(P27="Custom Reporting Solution",'⚙️ Rate Card'!C26,0)))))+IF(B27="",0,'⚙️ Rate Card'!C33+(D27/100)*'⚙️ Rate Card'!C34))*'⚙️ Rate Card'!C36)*(1-'📊 Dashboard'!C10/100))</f>
        <v>0</v>
      </c>
      <c r="T27" s="35" t="n">
        <f aca="false">IF(B27="",0,S27*(1+'📊 Dashboard'!C14/100))</f>
        <v>0</v>
      </c>
      <c r="U27" s="41" t="n">
        <f aca="false">IF(B27="",0,((D27/100)*'⚙️ Rate Card'!C7+F27*'⚙️ Rate Card'!C9+G27*'⚙️ Rate Card'!C10+H27*'⚙️ Rate Card'!C11+I27*'⚙️ Rate Card'!C12+J27*'⚙️ Rate Card'!C13+K27*'⚙️ Rate Card'!C14+(D27/100)*'⚙️ Rate Card'!C8+L27*IF(OR(O27="N/A",O27="None",O27=""),0,IF(O27="High",'⚙️ Rate Card'!C20,IF(O27="Medium",'⚙️ Rate Card'!C19,'⚙️ Rate Card'!C18)))+M27*IF(OR(P27="Decommission",P27=""),'⚙️ Rate Card'!C29,IF(P27="EC2 (Lift &amp; Shift)",'⚙️ Rate Card'!C25,IF(P27="AWS QuickSight",'⚙️ Rate Card'!C27,IF(P27="Power BI",'⚙️ Rate Card'!C28,IF(P27="Custom Reporting Solution",'⚙️ Rate Card'!C26,0)))))+IF(B27="",0,'⚙️ Rate Card'!C33+(D27/100)*'⚙️ Rate Card'!C34))*'⚙️ Rate Card'!C37)</f>
        <v>0</v>
      </c>
      <c r="V27" s="41" t="n">
        <f aca="false">IF(B27="",0,(D27/100)*'⚙️ Rate Card'!C7+F27*'⚙️ Rate Card'!C9+G27*'⚙️ Rate Card'!C10+H27*'⚙️ Rate Card'!C11+I27*'⚙️ Rate Card'!C12+J27*'⚙️ Rate Card'!C13+K27*'⚙️ Rate Card'!C14+(D27/100)*'⚙️ Rate Card'!C8+(D27/100)*'⚙️ Rate Card'!C8)</f>
        <v>0</v>
      </c>
      <c r="W27" s="41" t="n">
        <f aca="false">IF(B27="",0,L27*IF(OR(O27="N/A",O27="None",O27=""),0,IF(O27="High",'⚙️ Rate Card'!C20,IF(O27="Medium",'⚙️ Rate Card'!C19,'⚙️ Rate Card'!C18))))</f>
        <v>0</v>
      </c>
      <c r="X27" s="41" t="n">
        <f aca="false">IF(B27="",0,M27*IF(OR(P27="Decommission",P27=""),'⚙️ Rate Card'!C29,IF(P27="EC2 (Lift &amp; Shift)",'⚙️ Rate Card'!C25,IF(P27="AWS QuickSight",'⚙️ Rate Card'!C27,IF(P27="Power BI",'⚙️ Rate Card'!C28,IF(P27="Custom Reporting Solution",'⚙️ Rate Card'!C26,0))))))</f>
        <v>0</v>
      </c>
      <c r="Y27" s="41" t="n">
        <f aca="false">IF(B27="",0,IF(B27="",0,'⚙️ Rate Card'!C33+(D27/100)*'⚙️ Rate Card'!C34))</f>
        <v>0</v>
      </c>
      <c r="Z27" s="41" t="n">
        <f aca="false">IF(B27="",0,((D27/100)*'⚙️ Rate Card'!C7+F27*'⚙️ Rate Card'!C9+G27*'⚙️ Rate Card'!C10+H27*'⚙️ Rate Card'!C11+I27*'⚙️ Rate Card'!C12+J27*'⚙️ Rate Card'!C13+K27*'⚙️ Rate Card'!C14+(D27/100)*'⚙️ Rate Card'!C8+L27*IF(OR(O27="N/A",O27="None",O27=""),0,IF(O27="High",'⚙️ Rate Card'!C20,IF(O27="Medium",'⚙️ Rate Card'!C19,'⚙️ Rate Card'!C18)))+M27*IF(OR(P27="Decommission",P27=""),'⚙️ Rate Card'!C29,IF(P27="EC2 (Lift &amp; Shift)",'⚙️ Rate Card'!C25,IF(P27="AWS QuickSight",'⚙️ Rate Card'!C27,IF(P27="Power BI",'⚙️ Rate Card'!C28,IF(P27="Custom Reporting Solution",'⚙️ Rate Card'!C26,0)))))+IF(B27="",0,'⚙️ Rate Card'!C33+(D27/100)*'⚙️ Rate Card'!C34))*'⚙️ Rate Card'!C35)</f>
        <v>0</v>
      </c>
      <c r="AA27" s="41" t="n">
        <f aca="false">IF(B27="",0,((D27/100)*'⚙️ Rate Card'!C7+F27*'⚙️ Rate Card'!C9+G27*'⚙️ Rate Card'!C10+H27*'⚙️ Rate Card'!C11+I27*'⚙️ Rate Card'!C12+J27*'⚙️ Rate Card'!C13+K27*'⚙️ Rate Card'!C14+(D27/100)*'⚙️ Rate Card'!C8+L27*IF(OR(O27="N/A",O27="None",O27=""),0,IF(O27="High",'⚙️ Rate Card'!C20,IF(O27="Medium",'⚙️ Rate Card'!C19,'⚙️ Rate Card'!C18)))+M27*IF(OR(P27="Decommission",P27=""),'⚙️ Rate Card'!C29,IF(P27="EC2 (Lift &amp; Shift)",'⚙️ Rate Card'!C25,IF(P27="AWS QuickSight",'⚙️ Rate Card'!C27,IF(P27="Power BI",'⚙️ Rate Card'!C28,IF(P27="Custom Reporting Solution",'⚙️ Rate Card'!C26,0)))))+IF(B27="",0,'⚙️ Rate Card'!C33+(D27/100)*'⚙️ Rate Card'!C34))*'⚙️ Rate Card'!C36)</f>
        <v>0</v>
      </c>
      <c r="AB27" s="37" t="n">
        <f aca="false">'✏️ SME Input'!T28</f>
        <v>0</v>
      </c>
      <c r="AC27" s="41" t="n">
        <f aca="false">IF(B27="",0,AB27*0.75)</f>
        <v>0</v>
      </c>
      <c r="AD27" s="41" t="n">
        <f aca="false">IF(B27="",0,AB27*0.75)</f>
        <v>0</v>
      </c>
      <c r="AE27" s="41" t="n">
        <f aca="false">IF(B27="",0,AB27*0.75)</f>
        <v>0</v>
      </c>
      <c r="AF27" s="41" t="n">
        <f aca="false">IF(B27="",0,AB27*2.25)</f>
        <v>0</v>
      </c>
      <c r="AG27" s="41" t="n">
        <f aca="false">IF(B27="",0,((D27/100)*'⚙️ Rate Card'!C7+F27*'⚙️ Rate Card'!C9+G27*'⚙️ Rate Card'!C10+H27*'⚙️ Rate Card'!C11+I27*'⚙️ Rate Card'!C12+J27*'⚙️ Rate Card'!C13+K27*'⚙️ Rate Card'!C14+(D27/100)*'⚙️ Rate Card'!C8)*0.4)</f>
        <v>0</v>
      </c>
      <c r="AH27" s="41" t="n">
        <f aca="false">IF(B27="",0,((D27/100)*'⚙️ Rate Card'!C7+F27*'⚙️ Rate Card'!C9+G27*'⚙️ Rate Card'!C10+H27*'⚙️ Rate Card'!C11+I27*'⚙️ Rate Card'!C12+J27*'⚙️ Rate Card'!C13+K27*'⚙️ Rate Card'!C14+(D27/100)*'⚙️ Rate Card'!C8)*0.4)</f>
        <v>0</v>
      </c>
      <c r="AI27" s="41" t="n">
        <f aca="false">IF(B27="",0,((D27/100)*'⚙️ Rate Card'!C7+F27*'⚙️ Rate Card'!C9+G27*'⚙️ Rate Card'!C10+H27*'⚙️ Rate Card'!C11+I27*'⚙️ Rate Card'!C12+J27*'⚙️ Rate Card'!C13+K27*'⚙️ Rate Card'!C14+(D27/100)*'⚙️ Rate Card'!C8)*0.2)</f>
        <v>0</v>
      </c>
      <c r="AJ27" s="41" t="n">
        <f aca="false">IF(B27="",0,(L27*IF(OR(O27="N/A",O27="None",O27=""),0,IF(O27="High",'⚙️ Rate Card'!C20,IF(O27="Medium",'⚙️ Rate Card'!C19,'⚙️ Rate Card'!C18))))*0.5)</f>
        <v>0</v>
      </c>
      <c r="AK27" s="41" t="n">
        <f aca="false">IF(B27="",0,(L27*IF(OR(O27="N/A",O27="None",O27=""),0,IF(O27="High",'⚙️ Rate Card'!C20,IF(O27="Medium",'⚙️ Rate Card'!C19,'⚙️ Rate Card'!C18))))*0.35)</f>
        <v>0</v>
      </c>
      <c r="AL27" s="41" t="n">
        <f aca="false">IF(B27="",0,(L27*IF(OR(O27="N/A",O27="None",O27=""),0,IF(O27="High",'⚙️ Rate Card'!C20,IF(O27="Medium",'⚙️ Rate Card'!C19,'⚙️ Rate Card'!C18))))*0.15)</f>
        <v>0</v>
      </c>
      <c r="AM27" s="35" t="n">
        <f aca="false">IF(B27="",0,AG27+AJ27+(M27*IF(OR(P27="Decommission",P27=""),'⚙️ Rate Card'!C29,IF(P27="EC2 (Lift &amp; Shift)",'⚙️ Rate Card'!C25,IF(P27="AWS QuickSight",'⚙️ Rate Card'!C27,IF(P27="Power BI",'⚙️ Rate Card'!C28,IF(P27="Custom Reporting Solution",'⚙️ Rate Card'!C26,0))))))*0.4+(IF(B27="",0,'⚙️ Rate Card'!C33+(D27/100)*'⚙️ Rate Card'!C34))*0.4+AC27+(((D27/100)*'⚙️ Rate Card'!C7+F27*'⚙️ Rate Card'!C9+G27*'⚙️ Rate Card'!C10+H27*'⚙️ Rate Card'!C11+I27*'⚙️ Rate Card'!C12+J27*'⚙️ Rate Card'!C13+K27*'⚙️ Rate Card'!C14+(D27/100)*'⚙️ Rate Card'!C8+L27*IF(OR(O27="N/A",O27="None",O27=""),0,IF(O27="High",'⚙️ Rate Card'!C20,IF(O27="Medium",'⚙️ Rate Card'!C19,'⚙️ Rate Card'!C18)))+M27*IF(OR(P27="Decommission",P27=""),'⚙️ Rate Card'!C29,IF(P27="EC2 (Lift &amp; Shift)",'⚙️ Rate Card'!C25,IF(P27="AWS QuickSight",'⚙️ Rate Card'!C27,IF(P27="Power BI",'⚙️ Rate Card'!C28,IF(P27="Custom Reporting Solution",'⚙️ Rate Card'!C26,0)))))+IF(B27="",0,'⚙️ Rate Card'!C33+(D27/100)*'⚙️ Rate Card'!C34)))*'⚙️ Rate Card'!C35*0.4+(((D27/100)*'⚙️ Rate Card'!C7+F27*'⚙️ Rate Card'!C9+G27*'⚙️ Rate Card'!C10+H27*'⚙️ Rate Card'!C11+I27*'⚙️ Rate Card'!C12+J27*'⚙️ Rate Card'!C13+K27*'⚙️ Rate Card'!C14+(D27/100)*'⚙️ Rate Card'!C8+L27*IF(OR(O27="N/A",O27="None",O27=""),0,IF(O27="High",'⚙️ Rate Card'!C20,IF(O27="Medium",'⚙️ Rate Card'!C19,'⚙️ Rate Card'!C18)))+M27*IF(OR(P27="Decommission",P27=""),'⚙️ Rate Card'!C29,IF(P27="EC2 (Lift &amp; Shift)",'⚙️ Rate Card'!C25,IF(P27="AWS QuickSight",'⚙️ Rate Card'!C27,IF(P27="Power BI",'⚙️ Rate Card'!C28,IF(P27="Custom Reporting Solution",'⚙️ Rate Card'!C26,0)))))+IF(B27="",0,'⚙️ Rate Card'!C33+(D27/100)*'⚙️ Rate Card'!C34)))*'⚙️ Rate Card'!C36*0.4+(((D27/100)*'⚙️ Rate Card'!C7+F27*'⚙️ Rate Card'!C9+G27*'⚙️ Rate Card'!C10+H27*'⚙️ Rate Card'!C11+I27*'⚙️ Rate Card'!C12+J27*'⚙️ Rate Card'!C13+K27*'⚙️ Rate Card'!C14+(D27/100)*'⚙️ Rate Card'!C8+L27*IF(OR(O27="N/A",O27="None",O27=""),0,IF(O27="High",'⚙️ Rate Card'!C20,IF(O27="Medium",'⚙️ Rate Card'!C19,'⚙️ Rate Card'!C18)))+M27*IF(OR(P27="Decommission",P27=""),'⚙️ Rate Card'!C29,IF(P27="EC2 (Lift &amp; Shift)",'⚙️ Rate Card'!C25,IF(P27="AWS QuickSight",'⚙️ Rate Card'!C27,IF(P27="Power BI",'⚙️ Rate Card'!C28,IF(P27="Custom Reporting Solution",'⚙️ Rate Card'!C26,0)))))+IF(B27="",0,'⚙️ Rate Card'!C33+(D27/100)*'⚙️ Rate Card'!C34)))*'⚙️ Rate Card'!C37*0.4)</f>
        <v>0</v>
      </c>
      <c r="AN27" s="38" t="n">
        <f aca="false">IF(B27="",0,AH27+AK27+(M27*IF(OR(P27="Decommission",P27=""),'⚙️ Rate Card'!C29,IF(P27="EC2 (Lift &amp; Shift)",'⚙️ Rate Card'!C25,IF(P27="AWS QuickSight",'⚙️ Rate Card'!C27,IF(P27="Power BI",'⚙️ Rate Card'!C28,IF(P27="Custom Reporting Solution",'⚙️ Rate Card'!C26,0))))))*0.4+(IF(B27="",0,'⚙️ Rate Card'!C33+(D27/100)*'⚙️ Rate Card'!C34))*0.4+AD27+(((D27/100)*'⚙️ Rate Card'!C7+F27*'⚙️ Rate Card'!C9+G27*'⚙️ Rate Card'!C10+H27*'⚙️ Rate Card'!C11+I27*'⚙️ Rate Card'!C12+J27*'⚙️ Rate Card'!C13+K27*'⚙️ Rate Card'!C14+(D27/100)*'⚙️ Rate Card'!C8+L27*IF(OR(O27="N/A",O27="None",O27=""),0,IF(O27="High",'⚙️ Rate Card'!C20,IF(O27="Medium",'⚙️ Rate Card'!C19,'⚙️ Rate Card'!C18)))+M27*IF(OR(P27="Decommission",P27=""),'⚙️ Rate Card'!C29,IF(P27="EC2 (Lift &amp; Shift)",'⚙️ Rate Card'!C25,IF(P27="AWS QuickSight",'⚙️ Rate Card'!C27,IF(P27="Power BI",'⚙️ Rate Card'!C28,IF(P27="Custom Reporting Solution",'⚙️ Rate Card'!C26,0)))))+IF(B27="",0,'⚙️ Rate Card'!C33+(D27/100)*'⚙️ Rate Card'!C34)))*'⚙️ Rate Card'!C35*0.4+(((D27/100)*'⚙️ Rate Card'!C7+F27*'⚙️ Rate Card'!C9+G27*'⚙️ Rate Card'!C10+H27*'⚙️ Rate Card'!C11+I27*'⚙️ Rate Card'!C12+J27*'⚙️ Rate Card'!C13+K27*'⚙️ Rate Card'!C14+(D27/100)*'⚙️ Rate Card'!C8+L27*IF(OR(O27="N/A",O27="None",O27=""),0,IF(O27="High",'⚙️ Rate Card'!C20,IF(O27="Medium",'⚙️ Rate Card'!C19,'⚙️ Rate Card'!C18)))+M27*IF(OR(P27="Decommission",P27=""),'⚙️ Rate Card'!C29,IF(P27="EC2 (Lift &amp; Shift)",'⚙️ Rate Card'!C25,IF(P27="AWS QuickSight",'⚙️ Rate Card'!C27,IF(P27="Power BI",'⚙️ Rate Card'!C28,IF(P27="Custom Reporting Solution",'⚙️ Rate Card'!C26,0)))))+IF(B27="",0,'⚙️ Rate Card'!C33+(D27/100)*'⚙️ Rate Card'!C34)))*'⚙️ Rate Card'!C36*0.4+(((D27/100)*'⚙️ Rate Card'!C7+F27*'⚙️ Rate Card'!C9+G27*'⚙️ Rate Card'!C10+H27*'⚙️ Rate Card'!C11+I27*'⚙️ Rate Card'!C12+J27*'⚙️ Rate Card'!C13+K27*'⚙️ Rate Card'!C14+(D27/100)*'⚙️ Rate Card'!C8+L27*IF(OR(O27="N/A",O27="None",O27=""),0,IF(O27="High",'⚙️ Rate Card'!C20,IF(O27="Medium",'⚙️ Rate Card'!C19,'⚙️ Rate Card'!C18)))+M27*IF(OR(P27="Decommission",P27=""),'⚙️ Rate Card'!C29,IF(P27="EC2 (Lift &amp; Shift)",'⚙️ Rate Card'!C25,IF(P27="AWS QuickSight",'⚙️ Rate Card'!C27,IF(P27="Power BI",'⚙️ Rate Card'!C28,IF(P27="Custom Reporting Solution",'⚙️ Rate Card'!C26,0)))))+IF(B27="",0,'⚙️ Rate Card'!C33+(D27/100)*'⚙️ Rate Card'!C34)))*'⚙️ Rate Card'!C37*0.4)</f>
        <v>0</v>
      </c>
      <c r="AO27" s="39" t="n">
        <f aca="false">IF(B27="",0,AI27+AL27+(M27*IF(OR(P27="Decommission",P27=""),'⚙️ Rate Card'!C29,IF(P27="EC2 (Lift &amp; Shift)",'⚙️ Rate Card'!C25,IF(P27="AWS QuickSight",'⚙️ Rate Card'!C27,IF(P27="Power BI",'⚙️ Rate Card'!C28,IF(P27="Custom Reporting Solution",'⚙️ Rate Card'!C26,0))))))*0.2+(IF(B27="",0,'⚙️ Rate Card'!C33+(D27/100)*'⚙️ Rate Card'!C34))*0.2+AE27+(((D27/100)*'⚙️ Rate Card'!C7+F27*'⚙️ Rate Card'!C9+G27*'⚙️ Rate Card'!C10+H27*'⚙️ Rate Card'!C11+I27*'⚙️ Rate Card'!C12+J27*'⚙️ Rate Card'!C13+K27*'⚙️ Rate Card'!C14+(D27/100)*'⚙️ Rate Card'!C8+L27*IF(OR(O27="N/A",O27="None",O27=""),0,IF(O27="High",'⚙️ Rate Card'!C20,IF(O27="Medium",'⚙️ Rate Card'!C19,'⚙️ Rate Card'!C18)))+M27*IF(OR(P27="Decommission",P27=""),'⚙️ Rate Card'!C29,IF(P27="EC2 (Lift &amp; Shift)",'⚙️ Rate Card'!C25,IF(P27="AWS QuickSight",'⚙️ Rate Card'!C27,IF(P27="Power BI",'⚙️ Rate Card'!C28,IF(P27="Custom Reporting Solution",'⚙️ Rate Card'!C26,0)))))+IF(B27="",0,'⚙️ Rate Card'!C33+(D27/100)*'⚙️ Rate Card'!C34)))*'⚙️ Rate Card'!C35*0.2+(((D27/100)*'⚙️ Rate Card'!C7+F27*'⚙️ Rate Card'!C9+G27*'⚙️ Rate Card'!C10+H27*'⚙️ Rate Card'!C11+I27*'⚙️ Rate Card'!C12+J27*'⚙️ Rate Card'!C13+K27*'⚙️ Rate Card'!C14+(D27/100)*'⚙️ Rate Card'!C8+L27*IF(OR(O27="N/A",O27="None",O27=""),0,IF(O27="High",'⚙️ Rate Card'!C20,IF(O27="Medium",'⚙️ Rate Card'!C19,'⚙️ Rate Card'!C18)))+M27*IF(OR(P27="Decommission",P27=""),'⚙️ Rate Card'!C29,IF(P27="EC2 (Lift &amp; Shift)",'⚙️ Rate Card'!C25,IF(P27="AWS QuickSight",'⚙️ Rate Card'!C27,IF(P27="Power BI",'⚙️ Rate Card'!C28,IF(P27="Custom Reporting Solution",'⚙️ Rate Card'!C26,0)))))+IF(B27="",0,'⚙️ Rate Card'!C33+(D27/100)*'⚙️ Rate Card'!C34)))*'⚙️ Rate Card'!C36*0.2+(((D27/100)*'⚙️ Rate Card'!C7+F27*'⚙️ Rate Card'!C9+G27*'⚙️ Rate Card'!C10+H27*'⚙️ Rate Card'!C11+I27*'⚙️ Rate Card'!C12+J27*'⚙️ Rate Card'!C13+K27*'⚙️ Rate Card'!C14+(D27/100)*'⚙️ Rate Card'!C8+L27*IF(OR(O27="N/A",O27="None",O27=""),0,IF(O27="High",'⚙️ Rate Card'!C20,IF(O27="Medium",'⚙️ Rate Card'!C19,'⚙️ Rate Card'!C18)))+M27*IF(OR(P27="Decommission",P27=""),'⚙️ Rate Card'!C29,IF(P27="EC2 (Lift &amp; Shift)",'⚙️ Rate Card'!C25,IF(P27="AWS QuickSight",'⚙️ Rate Card'!C27,IF(P27="Power BI",'⚙️ Rate Card'!C28,IF(P27="Custom Reporting Solution",'⚙️ Rate Card'!C26,0)))))+IF(B27="",0,'⚙️ Rate Card'!C33+(D27/100)*'⚙️ Rate Card'!C34)))*'⚙️ Rate Card'!C37*0.2)</f>
        <v>0</v>
      </c>
      <c r="AP27" s="42" t="n">
        <f aca="false">'✏️ SME Input'!B28</f>
        <v>0</v>
      </c>
      <c r="AQ27" s="42" t="n">
        <f aca="false">'✏️ SME Input'!C28</f>
        <v>0</v>
      </c>
      <c r="AR27" s="42" t="n">
        <f aca="false">'✏️ SME Input'!D28</f>
        <v>0</v>
      </c>
    </row>
    <row r="28" customFormat="false" ht="18" hidden="false" customHeight="true" outlineLevel="0" collapsed="false">
      <c r="B28" s="30" t="n">
        <f aca="false">'✏️ SME Input'!E29</f>
        <v>0</v>
      </c>
      <c r="C28" s="31" t="str">
        <f aca="false">IF(B28="","",IF(D28&gt;1000,"T3 Complex",IF(D28&gt;500,"T2 Moderate","T1 Simple")))</f>
        <v/>
      </c>
      <c r="D28" s="32" t="n">
        <f aca="false">'✏️ SME Input'!G29</f>
        <v>0</v>
      </c>
      <c r="E28" s="32" t="n">
        <f aca="false">'✏️ SME Input'!H29</f>
        <v>0</v>
      </c>
      <c r="F28" s="32" t="n">
        <f aca="false">'✏️ SME Input'!I29</f>
        <v>0</v>
      </c>
      <c r="G28" s="32" t="n">
        <f aca="false">'✏️ SME Input'!J29</f>
        <v>0</v>
      </c>
      <c r="H28" s="32" t="n">
        <f aca="false">'✏️ SME Input'!K29</f>
        <v>0</v>
      </c>
      <c r="I28" s="32" t="n">
        <f aca="false">'✏️ SME Input'!L29</f>
        <v>0</v>
      </c>
      <c r="J28" s="32" t="n">
        <f aca="false">'✏️ SME Input'!M29</f>
        <v>0</v>
      </c>
      <c r="K28" s="32" t="n">
        <f aca="false">'✏️ SME Input'!N29</f>
        <v>0</v>
      </c>
      <c r="L28" s="32" t="n">
        <f aca="false">'✏️ SME Input'!O29</f>
        <v>0</v>
      </c>
      <c r="M28" s="32" t="n">
        <f aca="false">'✏️ SME Input'!P29</f>
        <v>0</v>
      </c>
      <c r="N28" s="17" t="n">
        <f aca="false">'✏️ SME Input'!Q29</f>
        <v>0</v>
      </c>
      <c r="O28" s="33" t="n">
        <f aca="false">'✏️ SME Input'!R29</f>
        <v>0</v>
      </c>
      <c r="P28" s="33" t="n">
        <f aca="false">'✏️ SME Input'!S29</f>
        <v>0</v>
      </c>
      <c r="Q28" s="32" t="n">
        <f aca="false">'✏️ SME Input'!F29</f>
        <v>0</v>
      </c>
      <c r="R28" s="34" t="n">
        <f aca="false">IF(B28="",0,((D28/100)*'⚙️ Rate Card'!C7+F28*'⚙️ Rate Card'!C9+G28*'⚙️ Rate Card'!C10+H28*'⚙️ Rate Card'!C11+I28*'⚙️ Rate Card'!C12+J28*'⚙️ Rate Card'!C13+K28*'⚙️ Rate Card'!C14+(D28/100)*'⚙️ Rate Card'!C8+L28*IF(OR(O28="N/A",O28="None",O28=""),0,IF(O28="High",'⚙️ Rate Card'!C20,IF(O28="Medium",'⚙️ Rate Card'!C19,'⚙️ Rate Card'!C18)))+M28*IF(OR(P28="Decommission",P28=""),'⚙️ Rate Card'!C29,IF(P28="EC2 (Lift &amp; Shift)",'⚙️ Rate Card'!C25,IF(P28="AWS QuickSight",'⚙️ Rate Card'!C27,IF(P28="Power BI",'⚙️ Rate Card'!C28,IF(P28="Custom Reporting Solution",'⚙️ Rate Card'!C26,0)))))+IF(B28="",0,'⚙️ Rate Card'!C33+(D28/100)*'⚙️ Rate Card'!C34))*'⚙️ Rate Card'!C37+(D28/100)*'⚙️ Rate Card'!C7+F28*'⚙️ Rate Card'!C9+G28*'⚙️ Rate Card'!C10+H28*'⚙️ Rate Card'!C11+I28*'⚙️ Rate Card'!C12+J28*'⚙️ Rate Card'!C13+K28*'⚙️ Rate Card'!C14+(D28/100)*'⚙️ Rate Card'!C8+(D28/100)*'⚙️ Rate Card'!C8+L28*IF(OR(O28="N/A",O28="None",O28=""),0,IF(O28="High",'⚙️ Rate Card'!C20,IF(O28="Medium",'⚙️ Rate Card'!C19,'⚙️ Rate Card'!C18)))+M28*IF(OR(P28="Decommission",P28=""),'⚙️ Rate Card'!C29,IF(P28="EC2 (Lift &amp; Shift)",'⚙️ Rate Card'!C25,IF(P28="AWS QuickSight",'⚙️ Rate Card'!C27,IF(P28="Power BI",'⚙️ Rate Card'!C28,IF(P28="Custom Reporting Solution",'⚙️ Rate Card'!C26,0)))))+IF(B28="",0,'⚙️ Rate Card'!C33+(D28/100)*'⚙️ Rate Card'!C34)+((D28/100)*'⚙️ Rate Card'!C7+F28*'⚙️ Rate Card'!C9+G28*'⚙️ Rate Card'!C10+H28*'⚙️ Rate Card'!C11+I28*'⚙️ Rate Card'!C12+J28*'⚙️ Rate Card'!C13+K28*'⚙️ Rate Card'!C14+(D28/100)*'⚙️ Rate Card'!C8+L28*IF(OR(O28="N/A",O28="None",O28=""),0,IF(O28="High",'⚙️ Rate Card'!C20,IF(O28="Medium",'⚙️ Rate Card'!C19,'⚙️ Rate Card'!C18)))+M28*IF(OR(P28="Decommission",P28=""),'⚙️ Rate Card'!C29,IF(P28="EC2 (Lift &amp; Shift)",'⚙️ Rate Card'!C25,IF(P28="AWS QuickSight",'⚙️ Rate Card'!C27,IF(P28="Power BI",'⚙️ Rate Card'!C28,IF(P28="Custom Reporting Solution",'⚙️ Rate Card'!C26,0)))))+IF(B28="",0,'⚙️ Rate Card'!C33+(D28/100)*'⚙️ Rate Card'!C34))*'⚙️ Rate Card'!C35+((D28/100)*'⚙️ Rate Card'!C7+F28*'⚙️ Rate Card'!C9+G28*'⚙️ Rate Card'!C10+H28*'⚙️ Rate Card'!C11+I28*'⚙️ Rate Card'!C12+J28*'⚙️ Rate Card'!C13+K28*'⚙️ Rate Card'!C14+(D28/100)*'⚙️ Rate Card'!C8+L28*IF(OR(O28="N/A",O28="None",O28=""),0,IF(O28="High",'⚙️ Rate Card'!C20,IF(O28="Medium",'⚙️ Rate Card'!C19,'⚙️ Rate Card'!C18)))+M28*IF(OR(P28="Decommission",P28=""),'⚙️ Rate Card'!C29,IF(P28="EC2 (Lift &amp; Shift)",'⚙️ Rate Card'!C25,IF(P28="AWS QuickSight",'⚙️ Rate Card'!C27,IF(P28="Power BI",'⚙️ Rate Card'!C28,IF(P28="Custom Reporting Solution",'⚙️ Rate Card'!C26,0)))))+IF(B28="",0,'⚙️ Rate Card'!C33+(D28/100)*'⚙️ Rate Card'!C34))*'⚙️ Rate Card'!C36)</f>
        <v>0</v>
      </c>
      <c r="S28" s="34" t="n">
        <f aca="false">IF(B28="",0,(((D28/100)*'⚙️ Rate Card'!C7+F28*'⚙️ Rate Card'!C9+G28*'⚙️ Rate Card'!C10+H28*'⚙️ Rate Card'!C11+I28*'⚙️ Rate Card'!C12+J28*'⚙️ Rate Card'!C13+K28*'⚙️ Rate Card'!C14+(D28/100)*'⚙️ Rate Card'!C8+L28*IF(OR(O28="N/A",O28="None",O28=""),0,IF(O28="High",'⚙️ Rate Card'!C20,IF(O28="Medium",'⚙️ Rate Card'!C19,'⚙️ Rate Card'!C18)))+M28*IF(OR(P28="Decommission",P28=""),'⚙️ Rate Card'!C29,IF(P28="EC2 (Lift &amp; Shift)",'⚙️ Rate Card'!C25,IF(P28="AWS QuickSight",'⚙️ Rate Card'!C27,IF(P28="Power BI",'⚙️ Rate Card'!C28,IF(P28="Custom Reporting Solution",'⚙️ Rate Card'!C26,0)))))+IF(B28="",0,'⚙️ Rate Card'!C33+(D28/100)*'⚙️ Rate Card'!C34))*'⚙️ Rate Card'!C37)*(1-'📊 Dashboard'!C10/100)+(((D28/100)*'⚙️ Rate Card'!C7+F28*'⚙️ Rate Card'!C9+G28*'⚙️ Rate Card'!C10+H28*'⚙️ Rate Card'!C11+I28*'⚙️ Rate Card'!C12+J28*'⚙️ Rate Card'!C13+K28*'⚙️ Rate Card'!C14+(D28/100)*'⚙️ Rate Card'!C8+(D28/100)*'⚙️ Rate Card'!C8))*(1-'📊 Dashboard'!C10/100)+(L28*IF(OR(O28="N/A",O28="None",O28=""),0,IF(O28="High",'⚙️ Rate Card'!C20,IF(O28="Medium",'⚙️ Rate Card'!C19,'⚙️ Rate Card'!C18))))*(1-'📊 Dashboard'!C11/100)+(M28*IF(OR(P28="Decommission",P28=""),'⚙️ Rate Card'!C29,IF(P28="EC2 (Lift &amp; Shift)",'⚙️ Rate Card'!C25,IF(P28="AWS QuickSight",'⚙️ Rate Card'!C27,IF(P28="Power BI",'⚙️ Rate Card'!C28,IF(P28="Custom Reporting Solution",'⚙️ Rate Card'!C26,0))))))*(1-'📊 Dashboard'!C12/100)+(IF(B28="",0,'⚙️ Rate Card'!C33+(D28/100)*'⚙️ Rate Card'!C34))*(1-'📊 Dashboard'!C10/100)+(((D28/100)*'⚙️ Rate Card'!C7+F28*'⚙️ Rate Card'!C9+G28*'⚙️ Rate Card'!C10+H28*'⚙️ Rate Card'!C11+I28*'⚙️ Rate Card'!C12+J28*'⚙️ Rate Card'!C13+K28*'⚙️ Rate Card'!C14+(D28/100)*'⚙️ Rate Card'!C8+L28*IF(OR(O28="N/A",O28="None",O28=""),0,IF(O28="High",'⚙️ Rate Card'!C20,IF(O28="Medium",'⚙️ Rate Card'!C19,'⚙️ Rate Card'!C18)))+M28*IF(OR(P28="Decommission",P28=""),'⚙️ Rate Card'!C29,IF(P28="EC2 (Lift &amp; Shift)",'⚙️ Rate Card'!C25,IF(P28="AWS QuickSight",'⚙️ Rate Card'!C27,IF(P28="Power BI",'⚙️ Rate Card'!C28,IF(P28="Custom Reporting Solution",'⚙️ Rate Card'!C26,0)))))+IF(B28="",0,'⚙️ Rate Card'!C33+(D28/100)*'⚙️ Rate Card'!C34))*'⚙️ Rate Card'!C35)*(1-'📊 Dashboard'!C13/100)+(((D28/100)*'⚙️ Rate Card'!C7+F28*'⚙️ Rate Card'!C9+G28*'⚙️ Rate Card'!C10+H28*'⚙️ Rate Card'!C11+I28*'⚙️ Rate Card'!C12+J28*'⚙️ Rate Card'!C13+K28*'⚙️ Rate Card'!C14+(D28/100)*'⚙️ Rate Card'!C8+L28*IF(OR(O28="N/A",O28="None",O28=""),0,IF(O28="High",'⚙️ Rate Card'!C20,IF(O28="Medium",'⚙️ Rate Card'!C19,'⚙️ Rate Card'!C18)))+M28*IF(OR(P28="Decommission",P28=""),'⚙️ Rate Card'!C29,IF(P28="EC2 (Lift &amp; Shift)",'⚙️ Rate Card'!C25,IF(P28="AWS QuickSight",'⚙️ Rate Card'!C27,IF(P28="Power BI",'⚙️ Rate Card'!C28,IF(P28="Custom Reporting Solution",'⚙️ Rate Card'!C26,0)))))+IF(B28="",0,'⚙️ Rate Card'!C33+(D28/100)*'⚙️ Rate Card'!C34))*'⚙️ Rate Card'!C36)*(1-'📊 Dashboard'!C10/100))</f>
        <v>0</v>
      </c>
      <c r="T28" s="35" t="n">
        <f aca="false">IF(B28="",0,S28*(1+'📊 Dashboard'!C14/100))</f>
        <v>0</v>
      </c>
      <c r="U28" s="36" t="n">
        <f aca="false">IF(B28="",0,((D28/100)*'⚙️ Rate Card'!C7+F28*'⚙️ Rate Card'!C9+G28*'⚙️ Rate Card'!C10+H28*'⚙️ Rate Card'!C11+I28*'⚙️ Rate Card'!C12+J28*'⚙️ Rate Card'!C13+K28*'⚙️ Rate Card'!C14+(D28/100)*'⚙️ Rate Card'!C8+L28*IF(OR(O28="N/A",O28="None",O28=""),0,IF(O28="High",'⚙️ Rate Card'!C20,IF(O28="Medium",'⚙️ Rate Card'!C19,'⚙️ Rate Card'!C18)))+M28*IF(OR(P28="Decommission",P28=""),'⚙️ Rate Card'!C29,IF(P28="EC2 (Lift &amp; Shift)",'⚙️ Rate Card'!C25,IF(P28="AWS QuickSight",'⚙️ Rate Card'!C27,IF(P28="Power BI",'⚙️ Rate Card'!C28,IF(P28="Custom Reporting Solution",'⚙️ Rate Card'!C26,0)))))+IF(B28="",0,'⚙️ Rate Card'!C33+(D28/100)*'⚙️ Rate Card'!C34))*'⚙️ Rate Card'!C37)</f>
        <v>0</v>
      </c>
      <c r="V28" s="36" t="n">
        <f aca="false">IF(B28="",0,(D28/100)*'⚙️ Rate Card'!C7+F28*'⚙️ Rate Card'!C9+G28*'⚙️ Rate Card'!C10+H28*'⚙️ Rate Card'!C11+I28*'⚙️ Rate Card'!C12+J28*'⚙️ Rate Card'!C13+K28*'⚙️ Rate Card'!C14+(D28/100)*'⚙️ Rate Card'!C8+(D28/100)*'⚙️ Rate Card'!C8)</f>
        <v>0</v>
      </c>
      <c r="W28" s="36" t="n">
        <f aca="false">IF(B28="",0,L28*IF(OR(O28="N/A",O28="None",O28=""),0,IF(O28="High",'⚙️ Rate Card'!C20,IF(O28="Medium",'⚙️ Rate Card'!C19,'⚙️ Rate Card'!C18))))</f>
        <v>0</v>
      </c>
      <c r="X28" s="36" t="n">
        <f aca="false">IF(B28="",0,M28*IF(OR(P28="Decommission",P28=""),'⚙️ Rate Card'!C29,IF(P28="EC2 (Lift &amp; Shift)",'⚙️ Rate Card'!C25,IF(P28="AWS QuickSight",'⚙️ Rate Card'!C27,IF(P28="Power BI",'⚙️ Rate Card'!C28,IF(P28="Custom Reporting Solution",'⚙️ Rate Card'!C26,0))))))</f>
        <v>0</v>
      </c>
      <c r="Y28" s="36" t="n">
        <f aca="false">IF(B28="",0,IF(B28="",0,'⚙️ Rate Card'!C33+(D28/100)*'⚙️ Rate Card'!C34))</f>
        <v>0</v>
      </c>
      <c r="Z28" s="36" t="n">
        <f aca="false">IF(B28="",0,((D28/100)*'⚙️ Rate Card'!C7+F28*'⚙️ Rate Card'!C9+G28*'⚙️ Rate Card'!C10+H28*'⚙️ Rate Card'!C11+I28*'⚙️ Rate Card'!C12+J28*'⚙️ Rate Card'!C13+K28*'⚙️ Rate Card'!C14+(D28/100)*'⚙️ Rate Card'!C8+L28*IF(OR(O28="N/A",O28="None",O28=""),0,IF(O28="High",'⚙️ Rate Card'!C20,IF(O28="Medium",'⚙️ Rate Card'!C19,'⚙️ Rate Card'!C18)))+M28*IF(OR(P28="Decommission",P28=""),'⚙️ Rate Card'!C29,IF(P28="EC2 (Lift &amp; Shift)",'⚙️ Rate Card'!C25,IF(P28="AWS QuickSight",'⚙️ Rate Card'!C27,IF(P28="Power BI",'⚙️ Rate Card'!C28,IF(P28="Custom Reporting Solution",'⚙️ Rate Card'!C26,0)))))+IF(B28="",0,'⚙️ Rate Card'!C33+(D28/100)*'⚙️ Rate Card'!C34))*'⚙️ Rate Card'!C35)</f>
        <v>0</v>
      </c>
      <c r="AA28" s="36" t="n">
        <f aca="false">IF(B28="",0,((D28/100)*'⚙️ Rate Card'!C7+F28*'⚙️ Rate Card'!C9+G28*'⚙️ Rate Card'!C10+H28*'⚙️ Rate Card'!C11+I28*'⚙️ Rate Card'!C12+J28*'⚙️ Rate Card'!C13+K28*'⚙️ Rate Card'!C14+(D28/100)*'⚙️ Rate Card'!C8+L28*IF(OR(O28="N/A",O28="None",O28=""),0,IF(O28="High",'⚙️ Rate Card'!C20,IF(O28="Medium",'⚙️ Rate Card'!C19,'⚙️ Rate Card'!C18)))+M28*IF(OR(P28="Decommission",P28=""),'⚙️ Rate Card'!C29,IF(P28="EC2 (Lift &amp; Shift)",'⚙️ Rate Card'!C25,IF(P28="AWS QuickSight",'⚙️ Rate Card'!C27,IF(P28="Power BI",'⚙️ Rate Card'!C28,IF(P28="Custom Reporting Solution",'⚙️ Rate Card'!C26,0)))))+IF(B28="",0,'⚙️ Rate Card'!C33+(D28/100)*'⚙️ Rate Card'!C34))*'⚙️ Rate Card'!C36)</f>
        <v>0</v>
      </c>
      <c r="AB28" s="37" t="n">
        <f aca="false">'✏️ SME Input'!T29</f>
        <v>0</v>
      </c>
      <c r="AC28" s="36" t="n">
        <f aca="false">IF(B28="",0,AB28*0.75)</f>
        <v>0</v>
      </c>
      <c r="AD28" s="36" t="n">
        <f aca="false">IF(B28="",0,AB28*0.75)</f>
        <v>0</v>
      </c>
      <c r="AE28" s="36" t="n">
        <f aca="false">IF(B28="",0,AB28*0.75)</f>
        <v>0</v>
      </c>
      <c r="AF28" s="36" t="n">
        <f aca="false">IF(B28="",0,AB28*2.25)</f>
        <v>0</v>
      </c>
      <c r="AG28" s="36" t="n">
        <f aca="false">IF(B28="",0,((D28/100)*'⚙️ Rate Card'!C7+F28*'⚙️ Rate Card'!C9+G28*'⚙️ Rate Card'!C10+H28*'⚙️ Rate Card'!C11+I28*'⚙️ Rate Card'!C12+J28*'⚙️ Rate Card'!C13+K28*'⚙️ Rate Card'!C14+(D28/100)*'⚙️ Rate Card'!C8)*0.4)</f>
        <v>0</v>
      </c>
      <c r="AH28" s="36" t="n">
        <f aca="false">IF(B28="",0,((D28/100)*'⚙️ Rate Card'!C7+F28*'⚙️ Rate Card'!C9+G28*'⚙️ Rate Card'!C10+H28*'⚙️ Rate Card'!C11+I28*'⚙️ Rate Card'!C12+J28*'⚙️ Rate Card'!C13+K28*'⚙️ Rate Card'!C14+(D28/100)*'⚙️ Rate Card'!C8)*0.4)</f>
        <v>0</v>
      </c>
      <c r="AI28" s="36" t="n">
        <f aca="false">IF(B28="",0,((D28/100)*'⚙️ Rate Card'!C7+F28*'⚙️ Rate Card'!C9+G28*'⚙️ Rate Card'!C10+H28*'⚙️ Rate Card'!C11+I28*'⚙️ Rate Card'!C12+J28*'⚙️ Rate Card'!C13+K28*'⚙️ Rate Card'!C14+(D28/100)*'⚙️ Rate Card'!C8)*0.2)</f>
        <v>0</v>
      </c>
      <c r="AJ28" s="36" t="n">
        <f aca="false">IF(B28="",0,(L28*IF(OR(O28="N/A",O28="None",O28=""),0,IF(O28="High",'⚙️ Rate Card'!C20,IF(O28="Medium",'⚙️ Rate Card'!C19,'⚙️ Rate Card'!C18))))*0.5)</f>
        <v>0</v>
      </c>
      <c r="AK28" s="36" t="n">
        <f aca="false">IF(B28="",0,(L28*IF(OR(O28="N/A",O28="None",O28=""),0,IF(O28="High",'⚙️ Rate Card'!C20,IF(O28="Medium",'⚙️ Rate Card'!C19,'⚙️ Rate Card'!C18))))*0.35)</f>
        <v>0</v>
      </c>
      <c r="AL28" s="36" t="n">
        <f aca="false">IF(B28="",0,(L28*IF(OR(O28="N/A",O28="None",O28=""),0,IF(O28="High",'⚙️ Rate Card'!C20,IF(O28="Medium",'⚙️ Rate Card'!C19,'⚙️ Rate Card'!C18))))*0.15)</f>
        <v>0</v>
      </c>
      <c r="AM28" s="35" t="n">
        <f aca="false">IF(B28="",0,AG28+AJ28+(M28*IF(OR(P28="Decommission",P28=""),'⚙️ Rate Card'!C29,IF(P28="EC2 (Lift &amp; Shift)",'⚙️ Rate Card'!C25,IF(P28="AWS QuickSight",'⚙️ Rate Card'!C27,IF(P28="Power BI",'⚙️ Rate Card'!C28,IF(P28="Custom Reporting Solution",'⚙️ Rate Card'!C26,0))))))*0.4+(IF(B28="",0,'⚙️ Rate Card'!C33+(D28/100)*'⚙️ Rate Card'!C34))*0.4+AC28+(((D28/100)*'⚙️ Rate Card'!C7+F28*'⚙️ Rate Card'!C9+G28*'⚙️ Rate Card'!C10+H28*'⚙️ Rate Card'!C11+I28*'⚙️ Rate Card'!C12+J28*'⚙️ Rate Card'!C13+K28*'⚙️ Rate Card'!C14+(D28/100)*'⚙️ Rate Card'!C8+L28*IF(OR(O28="N/A",O28="None",O28=""),0,IF(O28="High",'⚙️ Rate Card'!C20,IF(O28="Medium",'⚙️ Rate Card'!C19,'⚙️ Rate Card'!C18)))+M28*IF(OR(P28="Decommission",P28=""),'⚙️ Rate Card'!C29,IF(P28="EC2 (Lift &amp; Shift)",'⚙️ Rate Card'!C25,IF(P28="AWS QuickSight",'⚙️ Rate Card'!C27,IF(P28="Power BI",'⚙️ Rate Card'!C28,IF(P28="Custom Reporting Solution",'⚙️ Rate Card'!C26,0)))))+IF(B28="",0,'⚙️ Rate Card'!C33+(D28/100)*'⚙️ Rate Card'!C34)))*'⚙️ Rate Card'!C35*0.4+(((D28/100)*'⚙️ Rate Card'!C7+F28*'⚙️ Rate Card'!C9+G28*'⚙️ Rate Card'!C10+H28*'⚙️ Rate Card'!C11+I28*'⚙️ Rate Card'!C12+J28*'⚙️ Rate Card'!C13+K28*'⚙️ Rate Card'!C14+(D28/100)*'⚙️ Rate Card'!C8+L28*IF(OR(O28="N/A",O28="None",O28=""),0,IF(O28="High",'⚙️ Rate Card'!C20,IF(O28="Medium",'⚙️ Rate Card'!C19,'⚙️ Rate Card'!C18)))+M28*IF(OR(P28="Decommission",P28=""),'⚙️ Rate Card'!C29,IF(P28="EC2 (Lift &amp; Shift)",'⚙️ Rate Card'!C25,IF(P28="AWS QuickSight",'⚙️ Rate Card'!C27,IF(P28="Power BI",'⚙️ Rate Card'!C28,IF(P28="Custom Reporting Solution",'⚙️ Rate Card'!C26,0)))))+IF(B28="",0,'⚙️ Rate Card'!C33+(D28/100)*'⚙️ Rate Card'!C34)))*'⚙️ Rate Card'!C36*0.4+(((D28/100)*'⚙️ Rate Card'!C7+F28*'⚙️ Rate Card'!C9+G28*'⚙️ Rate Card'!C10+H28*'⚙️ Rate Card'!C11+I28*'⚙️ Rate Card'!C12+J28*'⚙️ Rate Card'!C13+K28*'⚙️ Rate Card'!C14+(D28/100)*'⚙️ Rate Card'!C8+L28*IF(OR(O28="N/A",O28="None",O28=""),0,IF(O28="High",'⚙️ Rate Card'!C20,IF(O28="Medium",'⚙️ Rate Card'!C19,'⚙️ Rate Card'!C18)))+M28*IF(OR(P28="Decommission",P28=""),'⚙️ Rate Card'!C29,IF(P28="EC2 (Lift &amp; Shift)",'⚙️ Rate Card'!C25,IF(P28="AWS QuickSight",'⚙️ Rate Card'!C27,IF(P28="Power BI",'⚙️ Rate Card'!C28,IF(P28="Custom Reporting Solution",'⚙️ Rate Card'!C26,0)))))+IF(B28="",0,'⚙️ Rate Card'!C33+(D28/100)*'⚙️ Rate Card'!C34)))*'⚙️ Rate Card'!C37*0.4)</f>
        <v>0</v>
      </c>
      <c r="AN28" s="38" t="n">
        <f aca="false">IF(B28="",0,AH28+AK28+(M28*IF(OR(P28="Decommission",P28=""),'⚙️ Rate Card'!C29,IF(P28="EC2 (Lift &amp; Shift)",'⚙️ Rate Card'!C25,IF(P28="AWS QuickSight",'⚙️ Rate Card'!C27,IF(P28="Power BI",'⚙️ Rate Card'!C28,IF(P28="Custom Reporting Solution",'⚙️ Rate Card'!C26,0))))))*0.4+(IF(B28="",0,'⚙️ Rate Card'!C33+(D28/100)*'⚙️ Rate Card'!C34))*0.4+AD28+(((D28/100)*'⚙️ Rate Card'!C7+F28*'⚙️ Rate Card'!C9+G28*'⚙️ Rate Card'!C10+H28*'⚙️ Rate Card'!C11+I28*'⚙️ Rate Card'!C12+J28*'⚙️ Rate Card'!C13+K28*'⚙️ Rate Card'!C14+(D28/100)*'⚙️ Rate Card'!C8+L28*IF(OR(O28="N/A",O28="None",O28=""),0,IF(O28="High",'⚙️ Rate Card'!C20,IF(O28="Medium",'⚙️ Rate Card'!C19,'⚙️ Rate Card'!C18)))+M28*IF(OR(P28="Decommission",P28=""),'⚙️ Rate Card'!C29,IF(P28="EC2 (Lift &amp; Shift)",'⚙️ Rate Card'!C25,IF(P28="AWS QuickSight",'⚙️ Rate Card'!C27,IF(P28="Power BI",'⚙️ Rate Card'!C28,IF(P28="Custom Reporting Solution",'⚙️ Rate Card'!C26,0)))))+IF(B28="",0,'⚙️ Rate Card'!C33+(D28/100)*'⚙️ Rate Card'!C34)))*'⚙️ Rate Card'!C35*0.4+(((D28/100)*'⚙️ Rate Card'!C7+F28*'⚙️ Rate Card'!C9+G28*'⚙️ Rate Card'!C10+H28*'⚙️ Rate Card'!C11+I28*'⚙️ Rate Card'!C12+J28*'⚙️ Rate Card'!C13+K28*'⚙️ Rate Card'!C14+(D28/100)*'⚙️ Rate Card'!C8+L28*IF(OR(O28="N/A",O28="None",O28=""),0,IF(O28="High",'⚙️ Rate Card'!C20,IF(O28="Medium",'⚙️ Rate Card'!C19,'⚙️ Rate Card'!C18)))+M28*IF(OR(P28="Decommission",P28=""),'⚙️ Rate Card'!C29,IF(P28="EC2 (Lift &amp; Shift)",'⚙️ Rate Card'!C25,IF(P28="AWS QuickSight",'⚙️ Rate Card'!C27,IF(P28="Power BI",'⚙️ Rate Card'!C28,IF(P28="Custom Reporting Solution",'⚙️ Rate Card'!C26,0)))))+IF(B28="",0,'⚙️ Rate Card'!C33+(D28/100)*'⚙️ Rate Card'!C34)))*'⚙️ Rate Card'!C36*0.4+(((D28/100)*'⚙️ Rate Card'!C7+F28*'⚙️ Rate Card'!C9+G28*'⚙️ Rate Card'!C10+H28*'⚙️ Rate Card'!C11+I28*'⚙️ Rate Card'!C12+J28*'⚙️ Rate Card'!C13+K28*'⚙️ Rate Card'!C14+(D28/100)*'⚙️ Rate Card'!C8+L28*IF(OR(O28="N/A",O28="None",O28=""),0,IF(O28="High",'⚙️ Rate Card'!C20,IF(O28="Medium",'⚙️ Rate Card'!C19,'⚙️ Rate Card'!C18)))+M28*IF(OR(P28="Decommission",P28=""),'⚙️ Rate Card'!C29,IF(P28="EC2 (Lift &amp; Shift)",'⚙️ Rate Card'!C25,IF(P28="AWS QuickSight",'⚙️ Rate Card'!C27,IF(P28="Power BI",'⚙️ Rate Card'!C28,IF(P28="Custom Reporting Solution",'⚙️ Rate Card'!C26,0)))))+IF(B28="",0,'⚙️ Rate Card'!C33+(D28/100)*'⚙️ Rate Card'!C34)))*'⚙️ Rate Card'!C37*0.4)</f>
        <v>0</v>
      </c>
      <c r="AO28" s="39" t="n">
        <f aca="false">IF(B28="",0,AI28+AL28+(M28*IF(OR(P28="Decommission",P28=""),'⚙️ Rate Card'!C29,IF(P28="EC2 (Lift &amp; Shift)",'⚙️ Rate Card'!C25,IF(P28="AWS QuickSight",'⚙️ Rate Card'!C27,IF(P28="Power BI",'⚙️ Rate Card'!C28,IF(P28="Custom Reporting Solution",'⚙️ Rate Card'!C26,0))))))*0.2+(IF(B28="",0,'⚙️ Rate Card'!C33+(D28/100)*'⚙️ Rate Card'!C34))*0.2+AE28+(((D28/100)*'⚙️ Rate Card'!C7+F28*'⚙️ Rate Card'!C9+G28*'⚙️ Rate Card'!C10+H28*'⚙️ Rate Card'!C11+I28*'⚙️ Rate Card'!C12+J28*'⚙️ Rate Card'!C13+K28*'⚙️ Rate Card'!C14+(D28/100)*'⚙️ Rate Card'!C8+L28*IF(OR(O28="N/A",O28="None",O28=""),0,IF(O28="High",'⚙️ Rate Card'!C20,IF(O28="Medium",'⚙️ Rate Card'!C19,'⚙️ Rate Card'!C18)))+M28*IF(OR(P28="Decommission",P28=""),'⚙️ Rate Card'!C29,IF(P28="EC2 (Lift &amp; Shift)",'⚙️ Rate Card'!C25,IF(P28="AWS QuickSight",'⚙️ Rate Card'!C27,IF(P28="Power BI",'⚙️ Rate Card'!C28,IF(P28="Custom Reporting Solution",'⚙️ Rate Card'!C26,0)))))+IF(B28="",0,'⚙️ Rate Card'!C33+(D28/100)*'⚙️ Rate Card'!C34)))*'⚙️ Rate Card'!C35*0.2+(((D28/100)*'⚙️ Rate Card'!C7+F28*'⚙️ Rate Card'!C9+G28*'⚙️ Rate Card'!C10+H28*'⚙️ Rate Card'!C11+I28*'⚙️ Rate Card'!C12+J28*'⚙️ Rate Card'!C13+K28*'⚙️ Rate Card'!C14+(D28/100)*'⚙️ Rate Card'!C8+L28*IF(OR(O28="N/A",O28="None",O28=""),0,IF(O28="High",'⚙️ Rate Card'!C20,IF(O28="Medium",'⚙️ Rate Card'!C19,'⚙️ Rate Card'!C18)))+M28*IF(OR(P28="Decommission",P28=""),'⚙️ Rate Card'!C29,IF(P28="EC2 (Lift &amp; Shift)",'⚙️ Rate Card'!C25,IF(P28="AWS QuickSight",'⚙️ Rate Card'!C27,IF(P28="Power BI",'⚙️ Rate Card'!C28,IF(P28="Custom Reporting Solution",'⚙️ Rate Card'!C26,0)))))+IF(B28="",0,'⚙️ Rate Card'!C33+(D28/100)*'⚙️ Rate Card'!C34)))*'⚙️ Rate Card'!C36*0.2+(((D28/100)*'⚙️ Rate Card'!C7+F28*'⚙️ Rate Card'!C9+G28*'⚙️ Rate Card'!C10+H28*'⚙️ Rate Card'!C11+I28*'⚙️ Rate Card'!C12+J28*'⚙️ Rate Card'!C13+K28*'⚙️ Rate Card'!C14+(D28/100)*'⚙️ Rate Card'!C8+L28*IF(OR(O28="N/A",O28="None",O28=""),0,IF(O28="High",'⚙️ Rate Card'!C20,IF(O28="Medium",'⚙️ Rate Card'!C19,'⚙️ Rate Card'!C18)))+M28*IF(OR(P28="Decommission",P28=""),'⚙️ Rate Card'!C29,IF(P28="EC2 (Lift &amp; Shift)",'⚙️ Rate Card'!C25,IF(P28="AWS QuickSight",'⚙️ Rate Card'!C27,IF(P28="Power BI",'⚙️ Rate Card'!C28,IF(P28="Custom Reporting Solution",'⚙️ Rate Card'!C26,0)))))+IF(B28="",0,'⚙️ Rate Card'!C33+(D28/100)*'⚙️ Rate Card'!C34)))*'⚙️ Rate Card'!C37*0.2)</f>
        <v>0</v>
      </c>
      <c r="AP28" s="37" t="n">
        <f aca="false">'✏️ SME Input'!B29</f>
        <v>0</v>
      </c>
      <c r="AQ28" s="37" t="n">
        <f aca="false">'✏️ SME Input'!C29</f>
        <v>0</v>
      </c>
      <c r="AR28" s="37" t="n">
        <f aca="false">'✏️ SME Input'!D29</f>
        <v>0</v>
      </c>
    </row>
    <row r="29" customFormat="false" ht="18" hidden="false" customHeight="true" outlineLevel="0" collapsed="false">
      <c r="B29" s="40" t="n">
        <f aca="false">'✏️ SME Input'!E30</f>
        <v>0</v>
      </c>
      <c r="C29" s="31" t="str">
        <f aca="false">IF(B29="","",IF(D29&gt;1000,"T3 Complex",IF(D29&gt;500,"T2 Moderate","T1 Simple")))</f>
        <v/>
      </c>
      <c r="D29" s="32" t="n">
        <f aca="false">'✏️ SME Input'!G30</f>
        <v>0</v>
      </c>
      <c r="E29" s="32" t="n">
        <f aca="false">'✏️ SME Input'!H30</f>
        <v>0</v>
      </c>
      <c r="F29" s="32" t="n">
        <f aca="false">'✏️ SME Input'!I30</f>
        <v>0</v>
      </c>
      <c r="G29" s="32" t="n">
        <f aca="false">'✏️ SME Input'!J30</f>
        <v>0</v>
      </c>
      <c r="H29" s="32" t="n">
        <f aca="false">'✏️ SME Input'!K30</f>
        <v>0</v>
      </c>
      <c r="I29" s="32" t="n">
        <f aca="false">'✏️ SME Input'!L30</f>
        <v>0</v>
      </c>
      <c r="J29" s="32" t="n">
        <f aca="false">'✏️ SME Input'!M30</f>
        <v>0</v>
      </c>
      <c r="K29" s="32" t="n">
        <f aca="false">'✏️ SME Input'!N30</f>
        <v>0</v>
      </c>
      <c r="L29" s="32" t="n">
        <f aca="false">'✏️ SME Input'!O30</f>
        <v>0</v>
      </c>
      <c r="M29" s="32" t="n">
        <f aca="false">'✏️ SME Input'!P30</f>
        <v>0</v>
      </c>
      <c r="N29" s="17" t="n">
        <f aca="false">'✏️ SME Input'!Q30</f>
        <v>0</v>
      </c>
      <c r="O29" s="33" t="n">
        <f aca="false">'✏️ SME Input'!R30</f>
        <v>0</v>
      </c>
      <c r="P29" s="33" t="n">
        <f aca="false">'✏️ SME Input'!S30</f>
        <v>0</v>
      </c>
      <c r="Q29" s="32" t="n">
        <f aca="false">'✏️ SME Input'!F30</f>
        <v>0</v>
      </c>
      <c r="R29" s="34" t="n">
        <f aca="false">IF(B29="",0,((D29/100)*'⚙️ Rate Card'!C7+F29*'⚙️ Rate Card'!C9+G29*'⚙️ Rate Card'!C10+H29*'⚙️ Rate Card'!C11+I29*'⚙️ Rate Card'!C12+J29*'⚙️ Rate Card'!C13+K29*'⚙️ Rate Card'!C14+(D29/100)*'⚙️ Rate Card'!C8+L29*IF(OR(O29="N/A",O29="None",O29=""),0,IF(O29="High",'⚙️ Rate Card'!C20,IF(O29="Medium",'⚙️ Rate Card'!C19,'⚙️ Rate Card'!C18)))+M29*IF(OR(P29="Decommission",P29=""),'⚙️ Rate Card'!C29,IF(P29="EC2 (Lift &amp; Shift)",'⚙️ Rate Card'!C25,IF(P29="AWS QuickSight",'⚙️ Rate Card'!C27,IF(P29="Power BI",'⚙️ Rate Card'!C28,IF(P29="Custom Reporting Solution",'⚙️ Rate Card'!C26,0)))))+IF(B29="",0,'⚙️ Rate Card'!C33+(D29/100)*'⚙️ Rate Card'!C34))*'⚙️ Rate Card'!C37+(D29/100)*'⚙️ Rate Card'!C7+F29*'⚙️ Rate Card'!C9+G29*'⚙️ Rate Card'!C10+H29*'⚙️ Rate Card'!C11+I29*'⚙️ Rate Card'!C12+J29*'⚙️ Rate Card'!C13+K29*'⚙️ Rate Card'!C14+(D29/100)*'⚙️ Rate Card'!C8+(D29/100)*'⚙️ Rate Card'!C8+L29*IF(OR(O29="N/A",O29="None",O29=""),0,IF(O29="High",'⚙️ Rate Card'!C20,IF(O29="Medium",'⚙️ Rate Card'!C19,'⚙️ Rate Card'!C18)))+M29*IF(OR(P29="Decommission",P29=""),'⚙️ Rate Card'!C29,IF(P29="EC2 (Lift &amp; Shift)",'⚙️ Rate Card'!C25,IF(P29="AWS QuickSight",'⚙️ Rate Card'!C27,IF(P29="Power BI",'⚙️ Rate Card'!C28,IF(P29="Custom Reporting Solution",'⚙️ Rate Card'!C26,0)))))+IF(B29="",0,'⚙️ Rate Card'!C33+(D29/100)*'⚙️ Rate Card'!C34)+((D29/100)*'⚙️ Rate Card'!C7+F29*'⚙️ Rate Card'!C9+G29*'⚙️ Rate Card'!C10+H29*'⚙️ Rate Card'!C11+I29*'⚙️ Rate Card'!C12+J29*'⚙️ Rate Card'!C13+K29*'⚙️ Rate Card'!C14+(D29/100)*'⚙️ Rate Card'!C8+L29*IF(OR(O29="N/A",O29="None",O29=""),0,IF(O29="High",'⚙️ Rate Card'!C20,IF(O29="Medium",'⚙️ Rate Card'!C19,'⚙️ Rate Card'!C18)))+M29*IF(OR(P29="Decommission",P29=""),'⚙️ Rate Card'!C29,IF(P29="EC2 (Lift &amp; Shift)",'⚙️ Rate Card'!C25,IF(P29="AWS QuickSight",'⚙️ Rate Card'!C27,IF(P29="Power BI",'⚙️ Rate Card'!C28,IF(P29="Custom Reporting Solution",'⚙️ Rate Card'!C26,0)))))+IF(B29="",0,'⚙️ Rate Card'!C33+(D29/100)*'⚙️ Rate Card'!C34))*'⚙️ Rate Card'!C35+((D29/100)*'⚙️ Rate Card'!C7+F29*'⚙️ Rate Card'!C9+G29*'⚙️ Rate Card'!C10+H29*'⚙️ Rate Card'!C11+I29*'⚙️ Rate Card'!C12+J29*'⚙️ Rate Card'!C13+K29*'⚙️ Rate Card'!C14+(D29/100)*'⚙️ Rate Card'!C8+L29*IF(OR(O29="N/A",O29="None",O29=""),0,IF(O29="High",'⚙️ Rate Card'!C20,IF(O29="Medium",'⚙️ Rate Card'!C19,'⚙️ Rate Card'!C18)))+M29*IF(OR(P29="Decommission",P29=""),'⚙️ Rate Card'!C29,IF(P29="EC2 (Lift &amp; Shift)",'⚙️ Rate Card'!C25,IF(P29="AWS QuickSight",'⚙️ Rate Card'!C27,IF(P29="Power BI",'⚙️ Rate Card'!C28,IF(P29="Custom Reporting Solution",'⚙️ Rate Card'!C26,0)))))+IF(B29="",0,'⚙️ Rate Card'!C33+(D29/100)*'⚙️ Rate Card'!C34))*'⚙️ Rate Card'!C36)</f>
        <v>0</v>
      </c>
      <c r="S29" s="34" t="n">
        <f aca="false">IF(B29="",0,(((D29/100)*'⚙️ Rate Card'!C7+F29*'⚙️ Rate Card'!C9+G29*'⚙️ Rate Card'!C10+H29*'⚙️ Rate Card'!C11+I29*'⚙️ Rate Card'!C12+J29*'⚙️ Rate Card'!C13+K29*'⚙️ Rate Card'!C14+(D29/100)*'⚙️ Rate Card'!C8+L29*IF(OR(O29="N/A",O29="None",O29=""),0,IF(O29="High",'⚙️ Rate Card'!C20,IF(O29="Medium",'⚙️ Rate Card'!C19,'⚙️ Rate Card'!C18)))+M29*IF(OR(P29="Decommission",P29=""),'⚙️ Rate Card'!C29,IF(P29="EC2 (Lift &amp; Shift)",'⚙️ Rate Card'!C25,IF(P29="AWS QuickSight",'⚙️ Rate Card'!C27,IF(P29="Power BI",'⚙️ Rate Card'!C28,IF(P29="Custom Reporting Solution",'⚙️ Rate Card'!C26,0)))))+IF(B29="",0,'⚙️ Rate Card'!C33+(D29/100)*'⚙️ Rate Card'!C34))*'⚙️ Rate Card'!C37)*(1-'📊 Dashboard'!C10/100)+(((D29/100)*'⚙️ Rate Card'!C7+F29*'⚙️ Rate Card'!C9+G29*'⚙️ Rate Card'!C10+H29*'⚙️ Rate Card'!C11+I29*'⚙️ Rate Card'!C12+J29*'⚙️ Rate Card'!C13+K29*'⚙️ Rate Card'!C14+(D29/100)*'⚙️ Rate Card'!C8+(D29/100)*'⚙️ Rate Card'!C8))*(1-'📊 Dashboard'!C10/100)+(L29*IF(OR(O29="N/A",O29="None",O29=""),0,IF(O29="High",'⚙️ Rate Card'!C20,IF(O29="Medium",'⚙️ Rate Card'!C19,'⚙️ Rate Card'!C18))))*(1-'📊 Dashboard'!C11/100)+(M29*IF(OR(P29="Decommission",P29=""),'⚙️ Rate Card'!C29,IF(P29="EC2 (Lift &amp; Shift)",'⚙️ Rate Card'!C25,IF(P29="AWS QuickSight",'⚙️ Rate Card'!C27,IF(P29="Power BI",'⚙️ Rate Card'!C28,IF(P29="Custom Reporting Solution",'⚙️ Rate Card'!C26,0))))))*(1-'📊 Dashboard'!C12/100)+(IF(B29="",0,'⚙️ Rate Card'!C33+(D29/100)*'⚙️ Rate Card'!C34))*(1-'📊 Dashboard'!C10/100)+(((D29/100)*'⚙️ Rate Card'!C7+F29*'⚙️ Rate Card'!C9+G29*'⚙️ Rate Card'!C10+H29*'⚙️ Rate Card'!C11+I29*'⚙️ Rate Card'!C12+J29*'⚙️ Rate Card'!C13+K29*'⚙️ Rate Card'!C14+(D29/100)*'⚙️ Rate Card'!C8+L29*IF(OR(O29="N/A",O29="None",O29=""),0,IF(O29="High",'⚙️ Rate Card'!C20,IF(O29="Medium",'⚙️ Rate Card'!C19,'⚙️ Rate Card'!C18)))+M29*IF(OR(P29="Decommission",P29=""),'⚙️ Rate Card'!C29,IF(P29="EC2 (Lift &amp; Shift)",'⚙️ Rate Card'!C25,IF(P29="AWS QuickSight",'⚙️ Rate Card'!C27,IF(P29="Power BI",'⚙️ Rate Card'!C28,IF(P29="Custom Reporting Solution",'⚙️ Rate Card'!C26,0)))))+IF(B29="",0,'⚙️ Rate Card'!C33+(D29/100)*'⚙️ Rate Card'!C34))*'⚙️ Rate Card'!C35)*(1-'📊 Dashboard'!C13/100)+(((D29/100)*'⚙️ Rate Card'!C7+F29*'⚙️ Rate Card'!C9+G29*'⚙️ Rate Card'!C10+H29*'⚙️ Rate Card'!C11+I29*'⚙️ Rate Card'!C12+J29*'⚙️ Rate Card'!C13+K29*'⚙️ Rate Card'!C14+(D29/100)*'⚙️ Rate Card'!C8+L29*IF(OR(O29="N/A",O29="None",O29=""),0,IF(O29="High",'⚙️ Rate Card'!C20,IF(O29="Medium",'⚙️ Rate Card'!C19,'⚙️ Rate Card'!C18)))+M29*IF(OR(P29="Decommission",P29=""),'⚙️ Rate Card'!C29,IF(P29="EC2 (Lift &amp; Shift)",'⚙️ Rate Card'!C25,IF(P29="AWS QuickSight",'⚙️ Rate Card'!C27,IF(P29="Power BI",'⚙️ Rate Card'!C28,IF(P29="Custom Reporting Solution",'⚙️ Rate Card'!C26,0)))))+IF(B29="",0,'⚙️ Rate Card'!C33+(D29/100)*'⚙️ Rate Card'!C34))*'⚙️ Rate Card'!C36)*(1-'📊 Dashboard'!C10/100))</f>
        <v>0</v>
      </c>
      <c r="T29" s="35" t="n">
        <f aca="false">IF(B29="",0,S29*(1+'📊 Dashboard'!C14/100))</f>
        <v>0</v>
      </c>
      <c r="U29" s="41" t="n">
        <f aca="false">IF(B29="",0,((D29/100)*'⚙️ Rate Card'!C7+F29*'⚙️ Rate Card'!C9+G29*'⚙️ Rate Card'!C10+H29*'⚙️ Rate Card'!C11+I29*'⚙️ Rate Card'!C12+J29*'⚙️ Rate Card'!C13+K29*'⚙️ Rate Card'!C14+(D29/100)*'⚙️ Rate Card'!C8+L29*IF(OR(O29="N/A",O29="None",O29=""),0,IF(O29="High",'⚙️ Rate Card'!C20,IF(O29="Medium",'⚙️ Rate Card'!C19,'⚙️ Rate Card'!C18)))+M29*IF(OR(P29="Decommission",P29=""),'⚙️ Rate Card'!C29,IF(P29="EC2 (Lift &amp; Shift)",'⚙️ Rate Card'!C25,IF(P29="AWS QuickSight",'⚙️ Rate Card'!C27,IF(P29="Power BI",'⚙️ Rate Card'!C28,IF(P29="Custom Reporting Solution",'⚙️ Rate Card'!C26,0)))))+IF(B29="",0,'⚙️ Rate Card'!C33+(D29/100)*'⚙️ Rate Card'!C34))*'⚙️ Rate Card'!C37)</f>
        <v>0</v>
      </c>
      <c r="V29" s="41" t="n">
        <f aca="false">IF(B29="",0,(D29/100)*'⚙️ Rate Card'!C7+F29*'⚙️ Rate Card'!C9+G29*'⚙️ Rate Card'!C10+H29*'⚙️ Rate Card'!C11+I29*'⚙️ Rate Card'!C12+J29*'⚙️ Rate Card'!C13+K29*'⚙️ Rate Card'!C14+(D29/100)*'⚙️ Rate Card'!C8+(D29/100)*'⚙️ Rate Card'!C8)</f>
        <v>0</v>
      </c>
      <c r="W29" s="41" t="n">
        <f aca="false">IF(B29="",0,L29*IF(OR(O29="N/A",O29="None",O29=""),0,IF(O29="High",'⚙️ Rate Card'!C20,IF(O29="Medium",'⚙️ Rate Card'!C19,'⚙️ Rate Card'!C18))))</f>
        <v>0</v>
      </c>
      <c r="X29" s="41" t="n">
        <f aca="false">IF(B29="",0,M29*IF(OR(P29="Decommission",P29=""),'⚙️ Rate Card'!C29,IF(P29="EC2 (Lift &amp; Shift)",'⚙️ Rate Card'!C25,IF(P29="AWS QuickSight",'⚙️ Rate Card'!C27,IF(P29="Power BI",'⚙️ Rate Card'!C28,IF(P29="Custom Reporting Solution",'⚙️ Rate Card'!C26,0))))))</f>
        <v>0</v>
      </c>
      <c r="Y29" s="41" t="n">
        <f aca="false">IF(B29="",0,IF(B29="",0,'⚙️ Rate Card'!C33+(D29/100)*'⚙️ Rate Card'!C34))</f>
        <v>0</v>
      </c>
      <c r="Z29" s="41" t="n">
        <f aca="false">IF(B29="",0,((D29/100)*'⚙️ Rate Card'!C7+F29*'⚙️ Rate Card'!C9+G29*'⚙️ Rate Card'!C10+H29*'⚙️ Rate Card'!C11+I29*'⚙️ Rate Card'!C12+J29*'⚙️ Rate Card'!C13+K29*'⚙️ Rate Card'!C14+(D29/100)*'⚙️ Rate Card'!C8+L29*IF(OR(O29="N/A",O29="None",O29=""),0,IF(O29="High",'⚙️ Rate Card'!C20,IF(O29="Medium",'⚙️ Rate Card'!C19,'⚙️ Rate Card'!C18)))+M29*IF(OR(P29="Decommission",P29=""),'⚙️ Rate Card'!C29,IF(P29="EC2 (Lift &amp; Shift)",'⚙️ Rate Card'!C25,IF(P29="AWS QuickSight",'⚙️ Rate Card'!C27,IF(P29="Power BI",'⚙️ Rate Card'!C28,IF(P29="Custom Reporting Solution",'⚙️ Rate Card'!C26,0)))))+IF(B29="",0,'⚙️ Rate Card'!C33+(D29/100)*'⚙️ Rate Card'!C34))*'⚙️ Rate Card'!C35)</f>
        <v>0</v>
      </c>
      <c r="AA29" s="41" t="n">
        <f aca="false">IF(B29="",0,((D29/100)*'⚙️ Rate Card'!C7+F29*'⚙️ Rate Card'!C9+G29*'⚙️ Rate Card'!C10+H29*'⚙️ Rate Card'!C11+I29*'⚙️ Rate Card'!C12+J29*'⚙️ Rate Card'!C13+K29*'⚙️ Rate Card'!C14+(D29/100)*'⚙️ Rate Card'!C8+L29*IF(OR(O29="N/A",O29="None",O29=""),0,IF(O29="High",'⚙️ Rate Card'!C20,IF(O29="Medium",'⚙️ Rate Card'!C19,'⚙️ Rate Card'!C18)))+M29*IF(OR(P29="Decommission",P29=""),'⚙️ Rate Card'!C29,IF(P29="EC2 (Lift &amp; Shift)",'⚙️ Rate Card'!C25,IF(P29="AWS QuickSight",'⚙️ Rate Card'!C27,IF(P29="Power BI",'⚙️ Rate Card'!C28,IF(P29="Custom Reporting Solution",'⚙️ Rate Card'!C26,0)))))+IF(B29="",0,'⚙️ Rate Card'!C33+(D29/100)*'⚙️ Rate Card'!C34))*'⚙️ Rate Card'!C36)</f>
        <v>0</v>
      </c>
      <c r="AB29" s="37" t="n">
        <f aca="false">'✏️ SME Input'!T30</f>
        <v>0</v>
      </c>
      <c r="AC29" s="41" t="n">
        <f aca="false">IF(B29="",0,AB29*0.75)</f>
        <v>0</v>
      </c>
      <c r="AD29" s="41" t="n">
        <f aca="false">IF(B29="",0,AB29*0.75)</f>
        <v>0</v>
      </c>
      <c r="AE29" s="41" t="n">
        <f aca="false">IF(B29="",0,AB29*0.75)</f>
        <v>0</v>
      </c>
      <c r="AF29" s="41" t="n">
        <f aca="false">IF(B29="",0,AB29*2.25)</f>
        <v>0</v>
      </c>
      <c r="AG29" s="41" t="n">
        <f aca="false">IF(B29="",0,((D29/100)*'⚙️ Rate Card'!C7+F29*'⚙️ Rate Card'!C9+G29*'⚙️ Rate Card'!C10+H29*'⚙️ Rate Card'!C11+I29*'⚙️ Rate Card'!C12+J29*'⚙️ Rate Card'!C13+K29*'⚙️ Rate Card'!C14+(D29/100)*'⚙️ Rate Card'!C8)*0.4)</f>
        <v>0</v>
      </c>
      <c r="AH29" s="41" t="n">
        <f aca="false">IF(B29="",0,((D29/100)*'⚙️ Rate Card'!C7+F29*'⚙️ Rate Card'!C9+G29*'⚙️ Rate Card'!C10+H29*'⚙️ Rate Card'!C11+I29*'⚙️ Rate Card'!C12+J29*'⚙️ Rate Card'!C13+K29*'⚙️ Rate Card'!C14+(D29/100)*'⚙️ Rate Card'!C8)*0.4)</f>
        <v>0</v>
      </c>
      <c r="AI29" s="41" t="n">
        <f aca="false">IF(B29="",0,((D29/100)*'⚙️ Rate Card'!C7+F29*'⚙️ Rate Card'!C9+G29*'⚙️ Rate Card'!C10+H29*'⚙️ Rate Card'!C11+I29*'⚙️ Rate Card'!C12+J29*'⚙️ Rate Card'!C13+K29*'⚙️ Rate Card'!C14+(D29/100)*'⚙️ Rate Card'!C8)*0.2)</f>
        <v>0</v>
      </c>
      <c r="AJ29" s="41" t="n">
        <f aca="false">IF(B29="",0,(L29*IF(OR(O29="N/A",O29="None",O29=""),0,IF(O29="High",'⚙️ Rate Card'!C20,IF(O29="Medium",'⚙️ Rate Card'!C19,'⚙️ Rate Card'!C18))))*0.5)</f>
        <v>0</v>
      </c>
      <c r="AK29" s="41" t="n">
        <f aca="false">IF(B29="",0,(L29*IF(OR(O29="N/A",O29="None",O29=""),0,IF(O29="High",'⚙️ Rate Card'!C20,IF(O29="Medium",'⚙️ Rate Card'!C19,'⚙️ Rate Card'!C18))))*0.35)</f>
        <v>0</v>
      </c>
      <c r="AL29" s="41" t="n">
        <f aca="false">IF(B29="",0,(L29*IF(OR(O29="N/A",O29="None",O29=""),0,IF(O29="High",'⚙️ Rate Card'!C20,IF(O29="Medium",'⚙️ Rate Card'!C19,'⚙️ Rate Card'!C18))))*0.15)</f>
        <v>0</v>
      </c>
      <c r="AM29" s="35" t="n">
        <f aca="false">IF(B29="",0,AG29+AJ29+(M29*IF(OR(P29="Decommission",P29=""),'⚙️ Rate Card'!C29,IF(P29="EC2 (Lift &amp; Shift)",'⚙️ Rate Card'!C25,IF(P29="AWS QuickSight",'⚙️ Rate Card'!C27,IF(P29="Power BI",'⚙️ Rate Card'!C28,IF(P29="Custom Reporting Solution",'⚙️ Rate Card'!C26,0))))))*0.4+(IF(B29="",0,'⚙️ Rate Card'!C33+(D29/100)*'⚙️ Rate Card'!C34))*0.4+AC29+(((D29/100)*'⚙️ Rate Card'!C7+F29*'⚙️ Rate Card'!C9+G29*'⚙️ Rate Card'!C10+H29*'⚙️ Rate Card'!C11+I29*'⚙️ Rate Card'!C12+J29*'⚙️ Rate Card'!C13+K29*'⚙️ Rate Card'!C14+(D29/100)*'⚙️ Rate Card'!C8+L29*IF(OR(O29="N/A",O29="None",O29=""),0,IF(O29="High",'⚙️ Rate Card'!C20,IF(O29="Medium",'⚙️ Rate Card'!C19,'⚙️ Rate Card'!C18)))+M29*IF(OR(P29="Decommission",P29=""),'⚙️ Rate Card'!C29,IF(P29="EC2 (Lift &amp; Shift)",'⚙️ Rate Card'!C25,IF(P29="AWS QuickSight",'⚙️ Rate Card'!C27,IF(P29="Power BI",'⚙️ Rate Card'!C28,IF(P29="Custom Reporting Solution",'⚙️ Rate Card'!C26,0)))))+IF(B29="",0,'⚙️ Rate Card'!C33+(D29/100)*'⚙️ Rate Card'!C34)))*'⚙️ Rate Card'!C35*0.4+(((D29/100)*'⚙️ Rate Card'!C7+F29*'⚙️ Rate Card'!C9+G29*'⚙️ Rate Card'!C10+H29*'⚙️ Rate Card'!C11+I29*'⚙️ Rate Card'!C12+J29*'⚙️ Rate Card'!C13+K29*'⚙️ Rate Card'!C14+(D29/100)*'⚙️ Rate Card'!C8+L29*IF(OR(O29="N/A",O29="None",O29=""),0,IF(O29="High",'⚙️ Rate Card'!C20,IF(O29="Medium",'⚙️ Rate Card'!C19,'⚙️ Rate Card'!C18)))+M29*IF(OR(P29="Decommission",P29=""),'⚙️ Rate Card'!C29,IF(P29="EC2 (Lift &amp; Shift)",'⚙️ Rate Card'!C25,IF(P29="AWS QuickSight",'⚙️ Rate Card'!C27,IF(P29="Power BI",'⚙️ Rate Card'!C28,IF(P29="Custom Reporting Solution",'⚙️ Rate Card'!C26,0)))))+IF(B29="",0,'⚙️ Rate Card'!C33+(D29/100)*'⚙️ Rate Card'!C34)))*'⚙️ Rate Card'!C36*0.4+(((D29/100)*'⚙️ Rate Card'!C7+F29*'⚙️ Rate Card'!C9+G29*'⚙️ Rate Card'!C10+H29*'⚙️ Rate Card'!C11+I29*'⚙️ Rate Card'!C12+J29*'⚙️ Rate Card'!C13+K29*'⚙️ Rate Card'!C14+(D29/100)*'⚙️ Rate Card'!C8+L29*IF(OR(O29="N/A",O29="None",O29=""),0,IF(O29="High",'⚙️ Rate Card'!C20,IF(O29="Medium",'⚙️ Rate Card'!C19,'⚙️ Rate Card'!C18)))+M29*IF(OR(P29="Decommission",P29=""),'⚙️ Rate Card'!C29,IF(P29="EC2 (Lift &amp; Shift)",'⚙️ Rate Card'!C25,IF(P29="AWS QuickSight",'⚙️ Rate Card'!C27,IF(P29="Power BI",'⚙️ Rate Card'!C28,IF(P29="Custom Reporting Solution",'⚙️ Rate Card'!C26,0)))))+IF(B29="",0,'⚙️ Rate Card'!C33+(D29/100)*'⚙️ Rate Card'!C34)))*'⚙️ Rate Card'!C37*0.4)</f>
        <v>0</v>
      </c>
      <c r="AN29" s="38" t="n">
        <f aca="false">IF(B29="",0,AH29+AK29+(M29*IF(OR(P29="Decommission",P29=""),'⚙️ Rate Card'!C29,IF(P29="EC2 (Lift &amp; Shift)",'⚙️ Rate Card'!C25,IF(P29="AWS QuickSight",'⚙️ Rate Card'!C27,IF(P29="Power BI",'⚙️ Rate Card'!C28,IF(P29="Custom Reporting Solution",'⚙️ Rate Card'!C26,0))))))*0.4+(IF(B29="",0,'⚙️ Rate Card'!C33+(D29/100)*'⚙️ Rate Card'!C34))*0.4+AD29+(((D29/100)*'⚙️ Rate Card'!C7+F29*'⚙️ Rate Card'!C9+G29*'⚙️ Rate Card'!C10+H29*'⚙️ Rate Card'!C11+I29*'⚙️ Rate Card'!C12+J29*'⚙️ Rate Card'!C13+K29*'⚙️ Rate Card'!C14+(D29/100)*'⚙️ Rate Card'!C8+L29*IF(OR(O29="N/A",O29="None",O29=""),0,IF(O29="High",'⚙️ Rate Card'!C20,IF(O29="Medium",'⚙️ Rate Card'!C19,'⚙️ Rate Card'!C18)))+M29*IF(OR(P29="Decommission",P29=""),'⚙️ Rate Card'!C29,IF(P29="EC2 (Lift &amp; Shift)",'⚙️ Rate Card'!C25,IF(P29="AWS QuickSight",'⚙️ Rate Card'!C27,IF(P29="Power BI",'⚙️ Rate Card'!C28,IF(P29="Custom Reporting Solution",'⚙️ Rate Card'!C26,0)))))+IF(B29="",0,'⚙️ Rate Card'!C33+(D29/100)*'⚙️ Rate Card'!C34)))*'⚙️ Rate Card'!C35*0.4+(((D29/100)*'⚙️ Rate Card'!C7+F29*'⚙️ Rate Card'!C9+G29*'⚙️ Rate Card'!C10+H29*'⚙️ Rate Card'!C11+I29*'⚙️ Rate Card'!C12+J29*'⚙️ Rate Card'!C13+K29*'⚙️ Rate Card'!C14+(D29/100)*'⚙️ Rate Card'!C8+L29*IF(OR(O29="N/A",O29="None",O29=""),0,IF(O29="High",'⚙️ Rate Card'!C20,IF(O29="Medium",'⚙️ Rate Card'!C19,'⚙️ Rate Card'!C18)))+M29*IF(OR(P29="Decommission",P29=""),'⚙️ Rate Card'!C29,IF(P29="EC2 (Lift &amp; Shift)",'⚙️ Rate Card'!C25,IF(P29="AWS QuickSight",'⚙️ Rate Card'!C27,IF(P29="Power BI",'⚙️ Rate Card'!C28,IF(P29="Custom Reporting Solution",'⚙️ Rate Card'!C26,0)))))+IF(B29="",0,'⚙️ Rate Card'!C33+(D29/100)*'⚙️ Rate Card'!C34)))*'⚙️ Rate Card'!C36*0.4+(((D29/100)*'⚙️ Rate Card'!C7+F29*'⚙️ Rate Card'!C9+G29*'⚙️ Rate Card'!C10+H29*'⚙️ Rate Card'!C11+I29*'⚙️ Rate Card'!C12+J29*'⚙️ Rate Card'!C13+K29*'⚙️ Rate Card'!C14+(D29/100)*'⚙️ Rate Card'!C8+L29*IF(OR(O29="N/A",O29="None",O29=""),0,IF(O29="High",'⚙️ Rate Card'!C20,IF(O29="Medium",'⚙️ Rate Card'!C19,'⚙️ Rate Card'!C18)))+M29*IF(OR(P29="Decommission",P29=""),'⚙️ Rate Card'!C29,IF(P29="EC2 (Lift &amp; Shift)",'⚙️ Rate Card'!C25,IF(P29="AWS QuickSight",'⚙️ Rate Card'!C27,IF(P29="Power BI",'⚙️ Rate Card'!C28,IF(P29="Custom Reporting Solution",'⚙️ Rate Card'!C26,0)))))+IF(B29="",0,'⚙️ Rate Card'!C33+(D29/100)*'⚙️ Rate Card'!C34)))*'⚙️ Rate Card'!C37*0.4)</f>
        <v>0</v>
      </c>
      <c r="AO29" s="39" t="n">
        <f aca="false">IF(B29="",0,AI29+AL29+(M29*IF(OR(P29="Decommission",P29=""),'⚙️ Rate Card'!C29,IF(P29="EC2 (Lift &amp; Shift)",'⚙️ Rate Card'!C25,IF(P29="AWS QuickSight",'⚙️ Rate Card'!C27,IF(P29="Power BI",'⚙️ Rate Card'!C28,IF(P29="Custom Reporting Solution",'⚙️ Rate Card'!C26,0))))))*0.2+(IF(B29="",0,'⚙️ Rate Card'!C33+(D29/100)*'⚙️ Rate Card'!C34))*0.2+AE29+(((D29/100)*'⚙️ Rate Card'!C7+F29*'⚙️ Rate Card'!C9+G29*'⚙️ Rate Card'!C10+H29*'⚙️ Rate Card'!C11+I29*'⚙️ Rate Card'!C12+J29*'⚙️ Rate Card'!C13+K29*'⚙️ Rate Card'!C14+(D29/100)*'⚙️ Rate Card'!C8+L29*IF(OR(O29="N/A",O29="None",O29=""),0,IF(O29="High",'⚙️ Rate Card'!C20,IF(O29="Medium",'⚙️ Rate Card'!C19,'⚙️ Rate Card'!C18)))+M29*IF(OR(P29="Decommission",P29=""),'⚙️ Rate Card'!C29,IF(P29="EC2 (Lift &amp; Shift)",'⚙️ Rate Card'!C25,IF(P29="AWS QuickSight",'⚙️ Rate Card'!C27,IF(P29="Power BI",'⚙️ Rate Card'!C28,IF(P29="Custom Reporting Solution",'⚙️ Rate Card'!C26,0)))))+IF(B29="",0,'⚙️ Rate Card'!C33+(D29/100)*'⚙️ Rate Card'!C34)))*'⚙️ Rate Card'!C35*0.2+(((D29/100)*'⚙️ Rate Card'!C7+F29*'⚙️ Rate Card'!C9+G29*'⚙️ Rate Card'!C10+H29*'⚙️ Rate Card'!C11+I29*'⚙️ Rate Card'!C12+J29*'⚙️ Rate Card'!C13+K29*'⚙️ Rate Card'!C14+(D29/100)*'⚙️ Rate Card'!C8+L29*IF(OR(O29="N/A",O29="None",O29=""),0,IF(O29="High",'⚙️ Rate Card'!C20,IF(O29="Medium",'⚙️ Rate Card'!C19,'⚙️ Rate Card'!C18)))+M29*IF(OR(P29="Decommission",P29=""),'⚙️ Rate Card'!C29,IF(P29="EC2 (Lift &amp; Shift)",'⚙️ Rate Card'!C25,IF(P29="AWS QuickSight",'⚙️ Rate Card'!C27,IF(P29="Power BI",'⚙️ Rate Card'!C28,IF(P29="Custom Reporting Solution",'⚙️ Rate Card'!C26,0)))))+IF(B29="",0,'⚙️ Rate Card'!C33+(D29/100)*'⚙️ Rate Card'!C34)))*'⚙️ Rate Card'!C36*0.2+(((D29/100)*'⚙️ Rate Card'!C7+F29*'⚙️ Rate Card'!C9+G29*'⚙️ Rate Card'!C10+H29*'⚙️ Rate Card'!C11+I29*'⚙️ Rate Card'!C12+J29*'⚙️ Rate Card'!C13+K29*'⚙️ Rate Card'!C14+(D29/100)*'⚙️ Rate Card'!C8+L29*IF(OR(O29="N/A",O29="None",O29=""),0,IF(O29="High",'⚙️ Rate Card'!C20,IF(O29="Medium",'⚙️ Rate Card'!C19,'⚙️ Rate Card'!C18)))+M29*IF(OR(P29="Decommission",P29=""),'⚙️ Rate Card'!C29,IF(P29="EC2 (Lift &amp; Shift)",'⚙️ Rate Card'!C25,IF(P29="AWS QuickSight",'⚙️ Rate Card'!C27,IF(P29="Power BI",'⚙️ Rate Card'!C28,IF(P29="Custom Reporting Solution",'⚙️ Rate Card'!C26,0)))))+IF(B29="",0,'⚙️ Rate Card'!C33+(D29/100)*'⚙️ Rate Card'!C34)))*'⚙️ Rate Card'!C37*0.2)</f>
        <v>0</v>
      </c>
      <c r="AP29" s="42" t="n">
        <f aca="false">'✏️ SME Input'!B30</f>
        <v>0</v>
      </c>
      <c r="AQ29" s="42" t="n">
        <f aca="false">'✏️ SME Input'!C30</f>
        <v>0</v>
      </c>
      <c r="AR29" s="42" t="n">
        <f aca="false">'✏️ SME Input'!D30</f>
        <v>0</v>
      </c>
    </row>
    <row r="30" customFormat="false" ht="18" hidden="false" customHeight="true" outlineLevel="0" collapsed="false">
      <c r="B30" s="30" t="n">
        <f aca="false">'✏️ SME Input'!E31</f>
        <v>0</v>
      </c>
      <c r="C30" s="31" t="str">
        <f aca="false">IF(B30="","",IF(D30&gt;1000,"T3 Complex",IF(D30&gt;500,"T2 Moderate","T1 Simple")))</f>
        <v/>
      </c>
      <c r="D30" s="32" t="n">
        <f aca="false">'✏️ SME Input'!G31</f>
        <v>0</v>
      </c>
      <c r="E30" s="32" t="n">
        <f aca="false">'✏️ SME Input'!H31</f>
        <v>0</v>
      </c>
      <c r="F30" s="32" t="n">
        <f aca="false">'✏️ SME Input'!I31</f>
        <v>0</v>
      </c>
      <c r="G30" s="32" t="n">
        <f aca="false">'✏️ SME Input'!J31</f>
        <v>0</v>
      </c>
      <c r="H30" s="32" t="n">
        <f aca="false">'✏️ SME Input'!K31</f>
        <v>0</v>
      </c>
      <c r="I30" s="32" t="n">
        <f aca="false">'✏️ SME Input'!L31</f>
        <v>0</v>
      </c>
      <c r="J30" s="32" t="n">
        <f aca="false">'✏️ SME Input'!M31</f>
        <v>0</v>
      </c>
      <c r="K30" s="32" t="n">
        <f aca="false">'✏️ SME Input'!N31</f>
        <v>0</v>
      </c>
      <c r="L30" s="32" t="n">
        <f aca="false">'✏️ SME Input'!O31</f>
        <v>0</v>
      </c>
      <c r="M30" s="32" t="n">
        <f aca="false">'✏️ SME Input'!P31</f>
        <v>0</v>
      </c>
      <c r="N30" s="17" t="n">
        <f aca="false">'✏️ SME Input'!Q31</f>
        <v>0</v>
      </c>
      <c r="O30" s="33" t="n">
        <f aca="false">'✏️ SME Input'!R31</f>
        <v>0</v>
      </c>
      <c r="P30" s="33" t="n">
        <f aca="false">'✏️ SME Input'!S31</f>
        <v>0</v>
      </c>
      <c r="Q30" s="32" t="n">
        <f aca="false">'✏️ SME Input'!F31</f>
        <v>0</v>
      </c>
      <c r="R30" s="34" t="n">
        <f aca="false">IF(B30="",0,((D30/100)*'⚙️ Rate Card'!C7+F30*'⚙️ Rate Card'!C9+G30*'⚙️ Rate Card'!C10+H30*'⚙️ Rate Card'!C11+I30*'⚙️ Rate Card'!C12+J30*'⚙️ Rate Card'!C13+K30*'⚙️ Rate Card'!C14+(D30/100)*'⚙️ Rate Card'!C8+L30*IF(OR(O30="N/A",O30="None",O30=""),0,IF(O30="High",'⚙️ Rate Card'!C20,IF(O30="Medium",'⚙️ Rate Card'!C19,'⚙️ Rate Card'!C18)))+M30*IF(OR(P30="Decommission",P30=""),'⚙️ Rate Card'!C29,IF(P30="EC2 (Lift &amp; Shift)",'⚙️ Rate Card'!C25,IF(P30="AWS QuickSight",'⚙️ Rate Card'!C27,IF(P30="Power BI",'⚙️ Rate Card'!C28,IF(P30="Custom Reporting Solution",'⚙️ Rate Card'!C26,0)))))+IF(B30="",0,'⚙️ Rate Card'!C33+(D30/100)*'⚙️ Rate Card'!C34))*'⚙️ Rate Card'!C37+(D30/100)*'⚙️ Rate Card'!C7+F30*'⚙️ Rate Card'!C9+G30*'⚙️ Rate Card'!C10+H30*'⚙️ Rate Card'!C11+I30*'⚙️ Rate Card'!C12+J30*'⚙️ Rate Card'!C13+K30*'⚙️ Rate Card'!C14+(D30/100)*'⚙️ Rate Card'!C8+(D30/100)*'⚙️ Rate Card'!C8+L30*IF(OR(O30="N/A",O30="None",O30=""),0,IF(O30="High",'⚙️ Rate Card'!C20,IF(O30="Medium",'⚙️ Rate Card'!C19,'⚙️ Rate Card'!C18)))+M30*IF(OR(P30="Decommission",P30=""),'⚙️ Rate Card'!C29,IF(P30="EC2 (Lift &amp; Shift)",'⚙️ Rate Card'!C25,IF(P30="AWS QuickSight",'⚙️ Rate Card'!C27,IF(P30="Power BI",'⚙️ Rate Card'!C28,IF(P30="Custom Reporting Solution",'⚙️ Rate Card'!C26,0)))))+IF(B30="",0,'⚙️ Rate Card'!C33+(D30/100)*'⚙️ Rate Card'!C34)+((D30/100)*'⚙️ Rate Card'!C7+F30*'⚙️ Rate Card'!C9+G30*'⚙️ Rate Card'!C10+H30*'⚙️ Rate Card'!C11+I30*'⚙️ Rate Card'!C12+J30*'⚙️ Rate Card'!C13+K30*'⚙️ Rate Card'!C14+(D30/100)*'⚙️ Rate Card'!C8+L30*IF(OR(O30="N/A",O30="None",O30=""),0,IF(O30="High",'⚙️ Rate Card'!C20,IF(O30="Medium",'⚙️ Rate Card'!C19,'⚙️ Rate Card'!C18)))+M30*IF(OR(P30="Decommission",P30=""),'⚙️ Rate Card'!C29,IF(P30="EC2 (Lift &amp; Shift)",'⚙️ Rate Card'!C25,IF(P30="AWS QuickSight",'⚙️ Rate Card'!C27,IF(P30="Power BI",'⚙️ Rate Card'!C28,IF(P30="Custom Reporting Solution",'⚙️ Rate Card'!C26,0)))))+IF(B30="",0,'⚙️ Rate Card'!C33+(D30/100)*'⚙️ Rate Card'!C34))*'⚙️ Rate Card'!C35+((D30/100)*'⚙️ Rate Card'!C7+F30*'⚙️ Rate Card'!C9+G30*'⚙️ Rate Card'!C10+H30*'⚙️ Rate Card'!C11+I30*'⚙️ Rate Card'!C12+J30*'⚙️ Rate Card'!C13+K30*'⚙️ Rate Card'!C14+(D30/100)*'⚙️ Rate Card'!C8+L30*IF(OR(O30="N/A",O30="None",O30=""),0,IF(O30="High",'⚙️ Rate Card'!C20,IF(O30="Medium",'⚙️ Rate Card'!C19,'⚙️ Rate Card'!C18)))+M30*IF(OR(P30="Decommission",P30=""),'⚙️ Rate Card'!C29,IF(P30="EC2 (Lift &amp; Shift)",'⚙️ Rate Card'!C25,IF(P30="AWS QuickSight",'⚙️ Rate Card'!C27,IF(P30="Power BI",'⚙️ Rate Card'!C28,IF(P30="Custom Reporting Solution",'⚙️ Rate Card'!C26,0)))))+IF(B30="",0,'⚙️ Rate Card'!C33+(D30/100)*'⚙️ Rate Card'!C34))*'⚙️ Rate Card'!C36)</f>
        <v>0</v>
      </c>
      <c r="S30" s="34" t="n">
        <f aca="false">IF(B30="",0,(((D30/100)*'⚙️ Rate Card'!C7+F30*'⚙️ Rate Card'!C9+G30*'⚙️ Rate Card'!C10+H30*'⚙️ Rate Card'!C11+I30*'⚙️ Rate Card'!C12+J30*'⚙️ Rate Card'!C13+K30*'⚙️ Rate Card'!C14+(D30/100)*'⚙️ Rate Card'!C8+L30*IF(OR(O30="N/A",O30="None",O30=""),0,IF(O30="High",'⚙️ Rate Card'!C20,IF(O30="Medium",'⚙️ Rate Card'!C19,'⚙️ Rate Card'!C18)))+M30*IF(OR(P30="Decommission",P30=""),'⚙️ Rate Card'!C29,IF(P30="EC2 (Lift &amp; Shift)",'⚙️ Rate Card'!C25,IF(P30="AWS QuickSight",'⚙️ Rate Card'!C27,IF(P30="Power BI",'⚙️ Rate Card'!C28,IF(P30="Custom Reporting Solution",'⚙️ Rate Card'!C26,0)))))+IF(B30="",0,'⚙️ Rate Card'!C33+(D30/100)*'⚙️ Rate Card'!C34))*'⚙️ Rate Card'!C37)*(1-'📊 Dashboard'!C10/100)+(((D30/100)*'⚙️ Rate Card'!C7+F30*'⚙️ Rate Card'!C9+G30*'⚙️ Rate Card'!C10+H30*'⚙️ Rate Card'!C11+I30*'⚙️ Rate Card'!C12+J30*'⚙️ Rate Card'!C13+K30*'⚙️ Rate Card'!C14+(D30/100)*'⚙️ Rate Card'!C8+(D30/100)*'⚙️ Rate Card'!C8))*(1-'📊 Dashboard'!C10/100)+(L30*IF(OR(O30="N/A",O30="None",O30=""),0,IF(O30="High",'⚙️ Rate Card'!C20,IF(O30="Medium",'⚙️ Rate Card'!C19,'⚙️ Rate Card'!C18))))*(1-'📊 Dashboard'!C11/100)+(M30*IF(OR(P30="Decommission",P30=""),'⚙️ Rate Card'!C29,IF(P30="EC2 (Lift &amp; Shift)",'⚙️ Rate Card'!C25,IF(P30="AWS QuickSight",'⚙️ Rate Card'!C27,IF(P30="Power BI",'⚙️ Rate Card'!C28,IF(P30="Custom Reporting Solution",'⚙️ Rate Card'!C26,0))))))*(1-'📊 Dashboard'!C12/100)+(IF(B30="",0,'⚙️ Rate Card'!C33+(D30/100)*'⚙️ Rate Card'!C34))*(1-'📊 Dashboard'!C10/100)+(((D30/100)*'⚙️ Rate Card'!C7+F30*'⚙️ Rate Card'!C9+G30*'⚙️ Rate Card'!C10+H30*'⚙️ Rate Card'!C11+I30*'⚙️ Rate Card'!C12+J30*'⚙️ Rate Card'!C13+K30*'⚙️ Rate Card'!C14+(D30/100)*'⚙️ Rate Card'!C8+L30*IF(OR(O30="N/A",O30="None",O30=""),0,IF(O30="High",'⚙️ Rate Card'!C20,IF(O30="Medium",'⚙️ Rate Card'!C19,'⚙️ Rate Card'!C18)))+M30*IF(OR(P30="Decommission",P30=""),'⚙️ Rate Card'!C29,IF(P30="EC2 (Lift &amp; Shift)",'⚙️ Rate Card'!C25,IF(P30="AWS QuickSight",'⚙️ Rate Card'!C27,IF(P30="Power BI",'⚙️ Rate Card'!C28,IF(P30="Custom Reporting Solution",'⚙️ Rate Card'!C26,0)))))+IF(B30="",0,'⚙️ Rate Card'!C33+(D30/100)*'⚙️ Rate Card'!C34))*'⚙️ Rate Card'!C35)*(1-'📊 Dashboard'!C13/100)+(((D30/100)*'⚙️ Rate Card'!C7+F30*'⚙️ Rate Card'!C9+G30*'⚙️ Rate Card'!C10+H30*'⚙️ Rate Card'!C11+I30*'⚙️ Rate Card'!C12+J30*'⚙️ Rate Card'!C13+K30*'⚙️ Rate Card'!C14+(D30/100)*'⚙️ Rate Card'!C8+L30*IF(OR(O30="N/A",O30="None",O30=""),0,IF(O30="High",'⚙️ Rate Card'!C20,IF(O30="Medium",'⚙️ Rate Card'!C19,'⚙️ Rate Card'!C18)))+M30*IF(OR(P30="Decommission",P30=""),'⚙️ Rate Card'!C29,IF(P30="EC2 (Lift &amp; Shift)",'⚙️ Rate Card'!C25,IF(P30="AWS QuickSight",'⚙️ Rate Card'!C27,IF(P30="Power BI",'⚙️ Rate Card'!C28,IF(P30="Custom Reporting Solution",'⚙️ Rate Card'!C26,0)))))+IF(B30="",0,'⚙️ Rate Card'!C33+(D30/100)*'⚙️ Rate Card'!C34))*'⚙️ Rate Card'!C36)*(1-'📊 Dashboard'!C10/100))</f>
        <v>0</v>
      </c>
      <c r="T30" s="35" t="n">
        <f aca="false">IF(B30="",0,S30*(1+'📊 Dashboard'!C14/100))</f>
        <v>0</v>
      </c>
      <c r="U30" s="36" t="n">
        <f aca="false">IF(B30="",0,((D30/100)*'⚙️ Rate Card'!C7+F30*'⚙️ Rate Card'!C9+G30*'⚙️ Rate Card'!C10+H30*'⚙️ Rate Card'!C11+I30*'⚙️ Rate Card'!C12+J30*'⚙️ Rate Card'!C13+K30*'⚙️ Rate Card'!C14+(D30/100)*'⚙️ Rate Card'!C8+L30*IF(OR(O30="N/A",O30="None",O30=""),0,IF(O30="High",'⚙️ Rate Card'!C20,IF(O30="Medium",'⚙️ Rate Card'!C19,'⚙️ Rate Card'!C18)))+M30*IF(OR(P30="Decommission",P30=""),'⚙️ Rate Card'!C29,IF(P30="EC2 (Lift &amp; Shift)",'⚙️ Rate Card'!C25,IF(P30="AWS QuickSight",'⚙️ Rate Card'!C27,IF(P30="Power BI",'⚙️ Rate Card'!C28,IF(P30="Custom Reporting Solution",'⚙️ Rate Card'!C26,0)))))+IF(B30="",0,'⚙️ Rate Card'!C33+(D30/100)*'⚙️ Rate Card'!C34))*'⚙️ Rate Card'!C37)</f>
        <v>0</v>
      </c>
      <c r="V30" s="36" t="n">
        <f aca="false">IF(B30="",0,(D30/100)*'⚙️ Rate Card'!C7+F30*'⚙️ Rate Card'!C9+G30*'⚙️ Rate Card'!C10+H30*'⚙️ Rate Card'!C11+I30*'⚙️ Rate Card'!C12+J30*'⚙️ Rate Card'!C13+K30*'⚙️ Rate Card'!C14+(D30/100)*'⚙️ Rate Card'!C8+(D30/100)*'⚙️ Rate Card'!C8)</f>
        <v>0</v>
      </c>
      <c r="W30" s="36" t="n">
        <f aca="false">IF(B30="",0,L30*IF(OR(O30="N/A",O30="None",O30=""),0,IF(O30="High",'⚙️ Rate Card'!C20,IF(O30="Medium",'⚙️ Rate Card'!C19,'⚙️ Rate Card'!C18))))</f>
        <v>0</v>
      </c>
      <c r="X30" s="36" t="n">
        <f aca="false">IF(B30="",0,M30*IF(OR(P30="Decommission",P30=""),'⚙️ Rate Card'!C29,IF(P30="EC2 (Lift &amp; Shift)",'⚙️ Rate Card'!C25,IF(P30="AWS QuickSight",'⚙️ Rate Card'!C27,IF(P30="Power BI",'⚙️ Rate Card'!C28,IF(P30="Custom Reporting Solution",'⚙️ Rate Card'!C26,0))))))</f>
        <v>0</v>
      </c>
      <c r="Y30" s="36" t="n">
        <f aca="false">IF(B30="",0,IF(B30="",0,'⚙️ Rate Card'!C33+(D30/100)*'⚙️ Rate Card'!C34))</f>
        <v>0</v>
      </c>
      <c r="Z30" s="36" t="n">
        <f aca="false">IF(B30="",0,((D30/100)*'⚙️ Rate Card'!C7+F30*'⚙️ Rate Card'!C9+G30*'⚙️ Rate Card'!C10+H30*'⚙️ Rate Card'!C11+I30*'⚙️ Rate Card'!C12+J30*'⚙️ Rate Card'!C13+K30*'⚙️ Rate Card'!C14+(D30/100)*'⚙️ Rate Card'!C8+L30*IF(OR(O30="N/A",O30="None",O30=""),0,IF(O30="High",'⚙️ Rate Card'!C20,IF(O30="Medium",'⚙️ Rate Card'!C19,'⚙️ Rate Card'!C18)))+M30*IF(OR(P30="Decommission",P30=""),'⚙️ Rate Card'!C29,IF(P30="EC2 (Lift &amp; Shift)",'⚙️ Rate Card'!C25,IF(P30="AWS QuickSight",'⚙️ Rate Card'!C27,IF(P30="Power BI",'⚙️ Rate Card'!C28,IF(P30="Custom Reporting Solution",'⚙️ Rate Card'!C26,0)))))+IF(B30="",0,'⚙️ Rate Card'!C33+(D30/100)*'⚙️ Rate Card'!C34))*'⚙️ Rate Card'!C35)</f>
        <v>0</v>
      </c>
      <c r="AA30" s="36" t="n">
        <f aca="false">IF(B30="",0,((D30/100)*'⚙️ Rate Card'!C7+F30*'⚙️ Rate Card'!C9+G30*'⚙️ Rate Card'!C10+H30*'⚙️ Rate Card'!C11+I30*'⚙️ Rate Card'!C12+J30*'⚙️ Rate Card'!C13+K30*'⚙️ Rate Card'!C14+(D30/100)*'⚙️ Rate Card'!C8+L30*IF(OR(O30="N/A",O30="None",O30=""),0,IF(O30="High",'⚙️ Rate Card'!C20,IF(O30="Medium",'⚙️ Rate Card'!C19,'⚙️ Rate Card'!C18)))+M30*IF(OR(P30="Decommission",P30=""),'⚙️ Rate Card'!C29,IF(P30="EC2 (Lift &amp; Shift)",'⚙️ Rate Card'!C25,IF(P30="AWS QuickSight",'⚙️ Rate Card'!C27,IF(P30="Power BI",'⚙️ Rate Card'!C28,IF(P30="Custom Reporting Solution",'⚙️ Rate Card'!C26,0)))))+IF(B30="",0,'⚙️ Rate Card'!C33+(D30/100)*'⚙️ Rate Card'!C34))*'⚙️ Rate Card'!C36)</f>
        <v>0</v>
      </c>
      <c r="AB30" s="37" t="n">
        <f aca="false">'✏️ SME Input'!T31</f>
        <v>0</v>
      </c>
      <c r="AC30" s="36" t="n">
        <f aca="false">IF(B30="",0,AB30*0.75)</f>
        <v>0</v>
      </c>
      <c r="AD30" s="36" t="n">
        <f aca="false">IF(B30="",0,AB30*0.75)</f>
        <v>0</v>
      </c>
      <c r="AE30" s="36" t="n">
        <f aca="false">IF(B30="",0,AB30*0.75)</f>
        <v>0</v>
      </c>
      <c r="AF30" s="36" t="n">
        <f aca="false">IF(B30="",0,AB30*2.25)</f>
        <v>0</v>
      </c>
      <c r="AG30" s="36" t="n">
        <f aca="false">IF(B30="",0,((D30/100)*'⚙️ Rate Card'!C7+F30*'⚙️ Rate Card'!C9+G30*'⚙️ Rate Card'!C10+H30*'⚙️ Rate Card'!C11+I30*'⚙️ Rate Card'!C12+J30*'⚙️ Rate Card'!C13+K30*'⚙️ Rate Card'!C14+(D30/100)*'⚙️ Rate Card'!C8)*0.4)</f>
        <v>0</v>
      </c>
      <c r="AH30" s="36" t="n">
        <f aca="false">IF(B30="",0,((D30/100)*'⚙️ Rate Card'!C7+F30*'⚙️ Rate Card'!C9+G30*'⚙️ Rate Card'!C10+H30*'⚙️ Rate Card'!C11+I30*'⚙️ Rate Card'!C12+J30*'⚙️ Rate Card'!C13+K30*'⚙️ Rate Card'!C14+(D30/100)*'⚙️ Rate Card'!C8)*0.4)</f>
        <v>0</v>
      </c>
      <c r="AI30" s="36" t="n">
        <f aca="false">IF(B30="",0,((D30/100)*'⚙️ Rate Card'!C7+F30*'⚙️ Rate Card'!C9+G30*'⚙️ Rate Card'!C10+H30*'⚙️ Rate Card'!C11+I30*'⚙️ Rate Card'!C12+J30*'⚙️ Rate Card'!C13+K30*'⚙️ Rate Card'!C14+(D30/100)*'⚙️ Rate Card'!C8)*0.2)</f>
        <v>0</v>
      </c>
      <c r="AJ30" s="36" t="n">
        <f aca="false">IF(B30="",0,(L30*IF(OR(O30="N/A",O30="None",O30=""),0,IF(O30="High",'⚙️ Rate Card'!C20,IF(O30="Medium",'⚙️ Rate Card'!C19,'⚙️ Rate Card'!C18))))*0.5)</f>
        <v>0</v>
      </c>
      <c r="AK30" s="36" t="n">
        <f aca="false">IF(B30="",0,(L30*IF(OR(O30="N/A",O30="None",O30=""),0,IF(O30="High",'⚙️ Rate Card'!C20,IF(O30="Medium",'⚙️ Rate Card'!C19,'⚙️ Rate Card'!C18))))*0.35)</f>
        <v>0</v>
      </c>
      <c r="AL30" s="36" t="n">
        <f aca="false">IF(B30="",0,(L30*IF(OR(O30="N/A",O30="None",O30=""),0,IF(O30="High",'⚙️ Rate Card'!C20,IF(O30="Medium",'⚙️ Rate Card'!C19,'⚙️ Rate Card'!C18))))*0.15)</f>
        <v>0</v>
      </c>
      <c r="AM30" s="35" t="n">
        <f aca="false">IF(B30="",0,AG30+AJ30+(M30*IF(OR(P30="Decommission",P30=""),'⚙️ Rate Card'!C29,IF(P30="EC2 (Lift &amp; Shift)",'⚙️ Rate Card'!C25,IF(P30="AWS QuickSight",'⚙️ Rate Card'!C27,IF(P30="Power BI",'⚙️ Rate Card'!C28,IF(P30="Custom Reporting Solution",'⚙️ Rate Card'!C26,0))))))*0.4+(IF(B30="",0,'⚙️ Rate Card'!C33+(D30/100)*'⚙️ Rate Card'!C34))*0.4+AC30+(((D30/100)*'⚙️ Rate Card'!C7+F30*'⚙️ Rate Card'!C9+G30*'⚙️ Rate Card'!C10+H30*'⚙️ Rate Card'!C11+I30*'⚙️ Rate Card'!C12+J30*'⚙️ Rate Card'!C13+K30*'⚙️ Rate Card'!C14+(D30/100)*'⚙️ Rate Card'!C8+L30*IF(OR(O30="N/A",O30="None",O30=""),0,IF(O30="High",'⚙️ Rate Card'!C20,IF(O30="Medium",'⚙️ Rate Card'!C19,'⚙️ Rate Card'!C18)))+M30*IF(OR(P30="Decommission",P30=""),'⚙️ Rate Card'!C29,IF(P30="EC2 (Lift &amp; Shift)",'⚙️ Rate Card'!C25,IF(P30="AWS QuickSight",'⚙️ Rate Card'!C27,IF(P30="Power BI",'⚙️ Rate Card'!C28,IF(P30="Custom Reporting Solution",'⚙️ Rate Card'!C26,0)))))+IF(B30="",0,'⚙️ Rate Card'!C33+(D30/100)*'⚙️ Rate Card'!C34)))*'⚙️ Rate Card'!C35*0.4+(((D30/100)*'⚙️ Rate Card'!C7+F30*'⚙️ Rate Card'!C9+G30*'⚙️ Rate Card'!C10+H30*'⚙️ Rate Card'!C11+I30*'⚙️ Rate Card'!C12+J30*'⚙️ Rate Card'!C13+K30*'⚙️ Rate Card'!C14+(D30/100)*'⚙️ Rate Card'!C8+L30*IF(OR(O30="N/A",O30="None",O30=""),0,IF(O30="High",'⚙️ Rate Card'!C20,IF(O30="Medium",'⚙️ Rate Card'!C19,'⚙️ Rate Card'!C18)))+M30*IF(OR(P30="Decommission",P30=""),'⚙️ Rate Card'!C29,IF(P30="EC2 (Lift &amp; Shift)",'⚙️ Rate Card'!C25,IF(P30="AWS QuickSight",'⚙️ Rate Card'!C27,IF(P30="Power BI",'⚙️ Rate Card'!C28,IF(P30="Custom Reporting Solution",'⚙️ Rate Card'!C26,0)))))+IF(B30="",0,'⚙️ Rate Card'!C33+(D30/100)*'⚙️ Rate Card'!C34)))*'⚙️ Rate Card'!C36*0.4+(((D30/100)*'⚙️ Rate Card'!C7+F30*'⚙️ Rate Card'!C9+G30*'⚙️ Rate Card'!C10+H30*'⚙️ Rate Card'!C11+I30*'⚙️ Rate Card'!C12+J30*'⚙️ Rate Card'!C13+K30*'⚙️ Rate Card'!C14+(D30/100)*'⚙️ Rate Card'!C8+L30*IF(OR(O30="N/A",O30="None",O30=""),0,IF(O30="High",'⚙️ Rate Card'!C20,IF(O30="Medium",'⚙️ Rate Card'!C19,'⚙️ Rate Card'!C18)))+M30*IF(OR(P30="Decommission",P30=""),'⚙️ Rate Card'!C29,IF(P30="EC2 (Lift &amp; Shift)",'⚙️ Rate Card'!C25,IF(P30="AWS QuickSight",'⚙️ Rate Card'!C27,IF(P30="Power BI",'⚙️ Rate Card'!C28,IF(P30="Custom Reporting Solution",'⚙️ Rate Card'!C26,0)))))+IF(B30="",0,'⚙️ Rate Card'!C33+(D30/100)*'⚙️ Rate Card'!C34)))*'⚙️ Rate Card'!C37*0.4)</f>
        <v>0</v>
      </c>
      <c r="AN30" s="38" t="n">
        <f aca="false">IF(B30="",0,AH30+AK30+(M30*IF(OR(P30="Decommission",P30=""),'⚙️ Rate Card'!C29,IF(P30="EC2 (Lift &amp; Shift)",'⚙️ Rate Card'!C25,IF(P30="AWS QuickSight",'⚙️ Rate Card'!C27,IF(P30="Power BI",'⚙️ Rate Card'!C28,IF(P30="Custom Reporting Solution",'⚙️ Rate Card'!C26,0))))))*0.4+(IF(B30="",0,'⚙️ Rate Card'!C33+(D30/100)*'⚙️ Rate Card'!C34))*0.4+AD30+(((D30/100)*'⚙️ Rate Card'!C7+F30*'⚙️ Rate Card'!C9+G30*'⚙️ Rate Card'!C10+H30*'⚙️ Rate Card'!C11+I30*'⚙️ Rate Card'!C12+J30*'⚙️ Rate Card'!C13+K30*'⚙️ Rate Card'!C14+(D30/100)*'⚙️ Rate Card'!C8+L30*IF(OR(O30="N/A",O30="None",O30=""),0,IF(O30="High",'⚙️ Rate Card'!C20,IF(O30="Medium",'⚙️ Rate Card'!C19,'⚙️ Rate Card'!C18)))+M30*IF(OR(P30="Decommission",P30=""),'⚙️ Rate Card'!C29,IF(P30="EC2 (Lift &amp; Shift)",'⚙️ Rate Card'!C25,IF(P30="AWS QuickSight",'⚙️ Rate Card'!C27,IF(P30="Power BI",'⚙️ Rate Card'!C28,IF(P30="Custom Reporting Solution",'⚙️ Rate Card'!C26,0)))))+IF(B30="",0,'⚙️ Rate Card'!C33+(D30/100)*'⚙️ Rate Card'!C34)))*'⚙️ Rate Card'!C35*0.4+(((D30/100)*'⚙️ Rate Card'!C7+F30*'⚙️ Rate Card'!C9+G30*'⚙️ Rate Card'!C10+H30*'⚙️ Rate Card'!C11+I30*'⚙️ Rate Card'!C12+J30*'⚙️ Rate Card'!C13+K30*'⚙️ Rate Card'!C14+(D30/100)*'⚙️ Rate Card'!C8+L30*IF(OR(O30="N/A",O30="None",O30=""),0,IF(O30="High",'⚙️ Rate Card'!C20,IF(O30="Medium",'⚙️ Rate Card'!C19,'⚙️ Rate Card'!C18)))+M30*IF(OR(P30="Decommission",P30=""),'⚙️ Rate Card'!C29,IF(P30="EC2 (Lift &amp; Shift)",'⚙️ Rate Card'!C25,IF(P30="AWS QuickSight",'⚙️ Rate Card'!C27,IF(P30="Power BI",'⚙️ Rate Card'!C28,IF(P30="Custom Reporting Solution",'⚙️ Rate Card'!C26,0)))))+IF(B30="",0,'⚙️ Rate Card'!C33+(D30/100)*'⚙️ Rate Card'!C34)))*'⚙️ Rate Card'!C36*0.4+(((D30/100)*'⚙️ Rate Card'!C7+F30*'⚙️ Rate Card'!C9+G30*'⚙️ Rate Card'!C10+H30*'⚙️ Rate Card'!C11+I30*'⚙️ Rate Card'!C12+J30*'⚙️ Rate Card'!C13+K30*'⚙️ Rate Card'!C14+(D30/100)*'⚙️ Rate Card'!C8+L30*IF(OR(O30="N/A",O30="None",O30=""),0,IF(O30="High",'⚙️ Rate Card'!C20,IF(O30="Medium",'⚙️ Rate Card'!C19,'⚙️ Rate Card'!C18)))+M30*IF(OR(P30="Decommission",P30=""),'⚙️ Rate Card'!C29,IF(P30="EC2 (Lift &amp; Shift)",'⚙️ Rate Card'!C25,IF(P30="AWS QuickSight",'⚙️ Rate Card'!C27,IF(P30="Power BI",'⚙️ Rate Card'!C28,IF(P30="Custom Reporting Solution",'⚙️ Rate Card'!C26,0)))))+IF(B30="",0,'⚙️ Rate Card'!C33+(D30/100)*'⚙️ Rate Card'!C34)))*'⚙️ Rate Card'!C37*0.4)</f>
        <v>0</v>
      </c>
      <c r="AO30" s="39" t="n">
        <f aca="false">IF(B30="",0,AI30+AL30+(M30*IF(OR(P30="Decommission",P30=""),'⚙️ Rate Card'!C29,IF(P30="EC2 (Lift &amp; Shift)",'⚙️ Rate Card'!C25,IF(P30="AWS QuickSight",'⚙️ Rate Card'!C27,IF(P30="Power BI",'⚙️ Rate Card'!C28,IF(P30="Custom Reporting Solution",'⚙️ Rate Card'!C26,0))))))*0.2+(IF(B30="",0,'⚙️ Rate Card'!C33+(D30/100)*'⚙️ Rate Card'!C34))*0.2+AE30+(((D30/100)*'⚙️ Rate Card'!C7+F30*'⚙️ Rate Card'!C9+G30*'⚙️ Rate Card'!C10+H30*'⚙️ Rate Card'!C11+I30*'⚙️ Rate Card'!C12+J30*'⚙️ Rate Card'!C13+K30*'⚙️ Rate Card'!C14+(D30/100)*'⚙️ Rate Card'!C8+L30*IF(OR(O30="N/A",O30="None",O30=""),0,IF(O30="High",'⚙️ Rate Card'!C20,IF(O30="Medium",'⚙️ Rate Card'!C19,'⚙️ Rate Card'!C18)))+M30*IF(OR(P30="Decommission",P30=""),'⚙️ Rate Card'!C29,IF(P30="EC2 (Lift &amp; Shift)",'⚙️ Rate Card'!C25,IF(P30="AWS QuickSight",'⚙️ Rate Card'!C27,IF(P30="Power BI",'⚙️ Rate Card'!C28,IF(P30="Custom Reporting Solution",'⚙️ Rate Card'!C26,0)))))+IF(B30="",0,'⚙️ Rate Card'!C33+(D30/100)*'⚙️ Rate Card'!C34)))*'⚙️ Rate Card'!C35*0.2+(((D30/100)*'⚙️ Rate Card'!C7+F30*'⚙️ Rate Card'!C9+G30*'⚙️ Rate Card'!C10+H30*'⚙️ Rate Card'!C11+I30*'⚙️ Rate Card'!C12+J30*'⚙️ Rate Card'!C13+K30*'⚙️ Rate Card'!C14+(D30/100)*'⚙️ Rate Card'!C8+L30*IF(OR(O30="N/A",O30="None",O30=""),0,IF(O30="High",'⚙️ Rate Card'!C20,IF(O30="Medium",'⚙️ Rate Card'!C19,'⚙️ Rate Card'!C18)))+M30*IF(OR(P30="Decommission",P30=""),'⚙️ Rate Card'!C29,IF(P30="EC2 (Lift &amp; Shift)",'⚙️ Rate Card'!C25,IF(P30="AWS QuickSight",'⚙️ Rate Card'!C27,IF(P30="Power BI",'⚙️ Rate Card'!C28,IF(P30="Custom Reporting Solution",'⚙️ Rate Card'!C26,0)))))+IF(B30="",0,'⚙️ Rate Card'!C33+(D30/100)*'⚙️ Rate Card'!C34)))*'⚙️ Rate Card'!C36*0.2+(((D30/100)*'⚙️ Rate Card'!C7+F30*'⚙️ Rate Card'!C9+G30*'⚙️ Rate Card'!C10+H30*'⚙️ Rate Card'!C11+I30*'⚙️ Rate Card'!C12+J30*'⚙️ Rate Card'!C13+K30*'⚙️ Rate Card'!C14+(D30/100)*'⚙️ Rate Card'!C8+L30*IF(OR(O30="N/A",O30="None",O30=""),0,IF(O30="High",'⚙️ Rate Card'!C20,IF(O30="Medium",'⚙️ Rate Card'!C19,'⚙️ Rate Card'!C18)))+M30*IF(OR(P30="Decommission",P30=""),'⚙️ Rate Card'!C29,IF(P30="EC2 (Lift &amp; Shift)",'⚙️ Rate Card'!C25,IF(P30="AWS QuickSight",'⚙️ Rate Card'!C27,IF(P30="Power BI",'⚙️ Rate Card'!C28,IF(P30="Custom Reporting Solution",'⚙️ Rate Card'!C26,0)))))+IF(B30="",0,'⚙️ Rate Card'!C33+(D30/100)*'⚙️ Rate Card'!C34)))*'⚙️ Rate Card'!C37*0.2)</f>
        <v>0</v>
      </c>
      <c r="AP30" s="37" t="n">
        <f aca="false">'✏️ SME Input'!B31</f>
        <v>0</v>
      </c>
      <c r="AQ30" s="37" t="n">
        <f aca="false">'✏️ SME Input'!C31</f>
        <v>0</v>
      </c>
      <c r="AR30" s="37" t="n">
        <f aca="false">'✏️ SME Input'!D31</f>
        <v>0</v>
      </c>
    </row>
    <row r="31" customFormat="false" ht="18" hidden="false" customHeight="true" outlineLevel="0" collapsed="false">
      <c r="B31" s="40" t="n">
        <f aca="false">'✏️ SME Input'!E32</f>
        <v>0</v>
      </c>
      <c r="C31" s="31" t="str">
        <f aca="false">IF(B31="","",IF(D31&gt;1000,"T3 Complex",IF(D31&gt;500,"T2 Moderate","T1 Simple")))</f>
        <v/>
      </c>
      <c r="D31" s="32" t="n">
        <f aca="false">'✏️ SME Input'!G32</f>
        <v>0</v>
      </c>
      <c r="E31" s="32" t="n">
        <f aca="false">'✏️ SME Input'!H32</f>
        <v>0</v>
      </c>
      <c r="F31" s="32" t="n">
        <f aca="false">'✏️ SME Input'!I32</f>
        <v>0</v>
      </c>
      <c r="G31" s="32" t="n">
        <f aca="false">'✏️ SME Input'!J32</f>
        <v>0</v>
      </c>
      <c r="H31" s="32" t="n">
        <f aca="false">'✏️ SME Input'!K32</f>
        <v>0</v>
      </c>
      <c r="I31" s="32" t="n">
        <f aca="false">'✏️ SME Input'!L32</f>
        <v>0</v>
      </c>
      <c r="J31" s="32" t="n">
        <f aca="false">'✏️ SME Input'!M32</f>
        <v>0</v>
      </c>
      <c r="K31" s="32" t="n">
        <f aca="false">'✏️ SME Input'!N32</f>
        <v>0</v>
      </c>
      <c r="L31" s="32" t="n">
        <f aca="false">'✏️ SME Input'!O32</f>
        <v>0</v>
      </c>
      <c r="M31" s="32" t="n">
        <f aca="false">'✏️ SME Input'!P32</f>
        <v>0</v>
      </c>
      <c r="N31" s="17" t="n">
        <f aca="false">'✏️ SME Input'!Q32</f>
        <v>0</v>
      </c>
      <c r="O31" s="33" t="n">
        <f aca="false">'✏️ SME Input'!R32</f>
        <v>0</v>
      </c>
      <c r="P31" s="33" t="n">
        <f aca="false">'✏️ SME Input'!S32</f>
        <v>0</v>
      </c>
      <c r="Q31" s="32" t="n">
        <f aca="false">'✏️ SME Input'!F32</f>
        <v>0</v>
      </c>
      <c r="R31" s="34" t="n">
        <f aca="false">IF(B31="",0,((D31/100)*'⚙️ Rate Card'!C7+F31*'⚙️ Rate Card'!C9+G31*'⚙️ Rate Card'!C10+H31*'⚙️ Rate Card'!C11+I31*'⚙️ Rate Card'!C12+J31*'⚙️ Rate Card'!C13+K31*'⚙️ Rate Card'!C14+(D31/100)*'⚙️ Rate Card'!C8+L31*IF(OR(O31="N/A",O31="None",O31=""),0,IF(O31="High",'⚙️ Rate Card'!C20,IF(O31="Medium",'⚙️ Rate Card'!C19,'⚙️ Rate Card'!C18)))+M31*IF(OR(P31="Decommission",P31=""),'⚙️ Rate Card'!C29,IF(P31="EC2 (Lift &amp; Shift)",'⚙️ Rate Card'!C25,IF(P31="AWS QuickSight",'⚙️ Rate Card'!C27,IF(P31="Power BI",'⚙️ Rate Card'!C28,IF(P31="Custom Reporting Solution",'⚙️ Rate Card'!C26,0)))))+IF(B31="",0,'⚙️ Rate Card'!C33+(D31/100)*'⚙️ Rate Card'!C34))*'⚙️ Rate Card'!C37+(D31/100)*'⚙️ Rate Card'!C7+F31*'⚙️ Rate Card'!C9+G31*'⚙️ Rate Card'!C10+H31*'⚙️ Rate Card'!C11+I31*'⚙️ Rate Card'!C12+J31*'⚙️ Rate Card'!C13+K31*'⚙️ Rate Card'!C14+(D31/100)*'⚙️ Rate Card'!C8+(D31/100)*'⚙️ Rate Card'!C8+L31*IF(OR(O31="N/A",O31="None",O31=""),0,IF(O31="High",'⚙️ Rate Card'!C20,IF(O31="Medium",'⚙️ Rate Card'!C19,'⚙️ Rate Card'!C18)))+M31*IF(OR(P31="Decommission",P31=""),'⚙️ Rate Card'!C29,IF(P31="EC2 (Lift &amp; Shift)",'⚙️ Rate Card'!C25,IF(P31="AWS QuickSight",'⚙️ Rate Card'!C27,IF(P31="Power BI",'⚙️ Rate Card'!C28,IF(P31="Custom Reporting Solution",'⚙️ Rate Card'!C26,0)))))+IF(B31="",0,'⚙️ Rate Card'!C33+(D31/100)*'⚙️ Rate Card'!C34)+((D31/100)*'⚙️ Rate Card'!C7+F31*'⚙️ Rate Card'!C9+G31*'⚙️ Rate Card'!C10+H31*'⚙️ Rate Card'!C11+I31*'⚙️ Rate Card'!C12+J31*'⚙️ Rate Card'!C13+K31*'⚙️ Rate Card'!C14+(D31/100)*'⚙️ Rate Card'!C8+L31*IF(OR(O31="N/A",O31="None",O31=""),0,IF(O31="High",'⚙️ Rate Card'!C20,IF(O31="Medium",'⚙️ Rate Card'!C19,'⚙️ Rate Card'!C18)))+M31*IF(OR(P31="Decommission",P31=""),'⚙️ Rate Card'!C29,IF(P31="EC2 (Lift &amp; Shift)",'⚙️ Rate Card'!C25,IF(P31="AWS QuickSight",'⚙️ Rate Card'!C27,IF(P31="Power BI",'⚙️ Rate Card'!C28,IF(P31="Custom Reporting Solution",'⚙️ Rate Card'!C26,0)))))+IF(B31="",0,'⚙️ Rate Card'!C33+(D31/100)*'⚙️ Rate Card'!C34))*'⚙️ Rate Card'!C35+((D31/100)*'⚙️ Rate Card'!C7+F31*'⚙️ Rate Card'!C9+G31*'⚙️ Rate Card'!C10+H31*'⚙️ Rate Card'!C11+I31*'⚙️ Rate Card'!C12+J31*'⚙️ Rate Card'!C13+K31*'⚙️ Rate Card'!C14+(D31/100)*'⚙️ Rate Card'!C8+L31*IF(OR(O31="N/A",O31="None",O31=""),0,IF(O31="High",'⚙️ Rate Card'!C20,IF(O31="Medium",'⚙️ Rate Card'!C19,'⚙️ Rate Card'!C18)))+M31*IF(OR(P31="Decommission",P31=""),'⚙️ Rate Card'!C29,IF(P31="EC2 (Lift &amp; Shift)",'⚙️ Rate Card'!C25,IF(P31="AWS QuickSight",'⚙️ Rate Card'!C27,IF(P31="Power BI",'⚙️ Rate Card'!C28,IF(P31="Custom Reporting Solution",'⚙️ Rate Card'!C26,0)))))+IF(B31="",0,'⚙️ Rate Card'!C33+(D31/100)*'⚙️ Rate Card'!C34))*'⚙️ Rate Card'!C36)</f>
        <v>0</v>
      </c>
      <c r="S31" s="34" t="n">
        <f aca="false">IF(B31="",0,(((D31/100)*'⚙️ Rate Card'!C7+F31*'⚙️ Rate Card'!C9+G31*'⚙️ Rate Card'!C10+H31*'⚙️ Rate Card'!C11+I31*'⚙️ Rate Card'!C12+J31*'⚙️ Rate Card'!C13+K31*'⚙️ Rate Card'!C14+(D31/100)*'⚙️ Rate Card'!C8+L31*IF(OR(O31="N/A",O31="None",O31=""),0,IF(O31="High",'⚙️ Rate Card'!C20,IF(O31="Medium",'⚙️ Rate Card'!C19,'⚙️ Rate Card'!C18)))+M31*IF(OR(P31="Decommission",P31=""),'⚙️ Rate Card'!C29,IF(P31="EC2 (Lift &amp; Shift)",'⚙️ Rate Card'!C25,IF(P31="AWS QuickSight",'⚙️ Rate Card'!C27,IF(P31="Power BI",'⚙️ Rate Card'!C28,IF(P31="Custom Reporting Solution",'⚙️ Rate Card'!C26,0)))))+IF(B31="",0,'⚙️ Rate Card'!C33+(D31/100)*'⚙️ Rate Card'!C34))*'⚙️ Rate Card'!C37)*(1-'📊 Dashboard'!C10/100)+(((D31/100)*'⚙️ Rate Card'!C7+F31*'⚙️ Rate Card'!C9+G31*'⚙️ Rate Card'!C10+H31*'⚙️ Rate Card'!C11+I31*'⚙️ Rate Card'!C12+J31*'⚙️ Rate Card'!C13+K31*'⚙️ Rate Card'!C14+(D31/100)*'⚙️ Rate Card'!C8+(D31/100)*'⚙️ Rate Card'!C8))*(1-'📊 Dashboard'!C10/100)+(L31*IF(OR(O31="N/A",O31="None",O31=""),0,IF(O31="High",'⚙️ Rate Card'!C20,IF(O31="Medium",'⚙️ Rate Card'!C19,'⚙️ Rate Card'!C18))))*(1-'📊 Dashboard'!C11/100)+(M31*IF(OR(P31="Decommission",P31=""),'⚙️ Rate Card'!C29,IF(P31="EC2 (Lift &amp; Shift)",'⚙️ Rate Card'!C25,IF(P31="AWS QuickSight",'⚙️ Rate Card'!C27,IF(P31="Power BI",'⚙️ Rate Card'!C28,IF(P31="Custom Reporting Solution",'⚙️ Rate Card'!C26,0))))))*(1-'📊 Dashboard'!C12/100)+(IF(B31="",0,'⚙️ Rate Card'!C33+(D31/100)*'⚙️ Rate Card'!C34))*(1-'📊 Dashboard'!C10/100)+(((D31/100)*'⚙️ Rate Card'!C7+F31*'⚙️ Rate Card'!C9+G31*'⚙️ Rate Card'!C10+H31*'⚙️ Rate Card'!C11+I31*'⚙️ Rate Card'!C12+J31*'⚙️ Rate Card'!C13+K31*'⚙️ Rate Card'!C14+(D31/100)*'⚙️ Rate Card'!C8+L31*IF(OR(O31="N/A",O31="None",O31=""),0,IF(O31="High",'⚙️ Rate Card'!C20,IF(O31="Medium",'⚙️ Rate Card'!C19,'⚙️ Rate Card'!C18)))+M31*IF(OR(P31="Decommission",P31=""),'⚙️ Rate Card'!C29,IF(P31="EC2 (Lift &amp; Shift)",'⚙️ Rate Card'!C25,IF(P31="AWS QuickSight",'⚙️ Rate Card'!C27,IF(P31="Power BI",'⚙️ Rate Card'!C28,IF(P31="Custom Reporting Solution",'⚙️ Rate Card'!C26,0)))))+IF(B31="",0,'⚙️ Rate Card'!C33+(D31/100)*'⚙️ Rate Card'!C34))*'⚙️ Rate Card'!C35)*(1-'📊 Dashboard'!C13/100)+(((D31/100)*'⚙️ Rate Card'!C7+F31*'⚙️ Rate Card'!C9+G31*'⚙️ Rate Card'!C10+H31*'⚙️ Rate Card'!C11+I31*'⚙️ Rate Card'!C12+J31*'⚙️ Rate Card'!C13+K31*'⚙️ Rate Card'!C14+(D31/100)*'⚙️ Rate Card'!C8+L31*IF(OR(O31="N/A",O31="None",O31=""),0,IF(O31="High",'⚙️ Rate Card'!C20,IF(O31="Medium",'⚙️ Rate Card'!C19,'⚙️ Rate Card'!C18)))+M31*IF(OR(P31="Decommission",P31=""),'⚙️ Rate Card'!C29,IF(P31="EC2 (Lift &amp; Shift)",'⚙️ Rate Card'!C25,IF(P31="AWS QuickSight",'⚙️ Rate Card'!C27,IF(P31="Power BI",'⚙️ Rate Card'!C28,IF(P31="Custom Reporting Solution",'⚙️ Rate Card'!C26,0)))))+IF(B31="",0,'⚙️ Rate Card'!C33+(D31/100)*'⚙️ Rate Card'!C34))*'⚙️ Rate Card'!C36)*(1-'📊 Dashboard'!C10/100))</f>
        <v>0</v>
      </c>
      <c r="T31" s="35" t="n">
        <f aca="false">IF(B31="",0,S31*(1+'📊 Dashboard'!C14/100))</f>
        <v>0</v>
      </c>
      <c r="U31" s="41" t="n">
        <f aca="false">IF(B31="",0,((D31/100)*'⚙️ Rate Card'!C7+F31*'⚙️ Rate Card'!C9+G31*'⚙️ Rate Card'!C10+H31*'⚙️ Rate Card'!C11+I31*'⚙️ Rate Card'!C12+J31*'⚙️ Rate Card'!C13+K31*'⚙️ Rate Card'!C14+(D31/100)*'⚙️ Rate Card'!C8+L31*IF(OR(O31="N/A",O31="None",O31=""),0,IF(O31="High",'⚙️ Rate Card'!C20,IF(O31="Medium",'⚙️ Rate Card'!C19,'⚙️ Rate Card'!C18)))+M31*IF(OR(P31="Decommission",P31=""),'⚙️ Rate Card'!C29,IF(P31="EC2 (Lift &amp; Shift)",'⚙️ Rate Card'!C25,IF(P31="AWS QuickSight",'⚙️ Rate Card'!C27,IF(P31="Power BI",'⚙️ Rate Card'!C28,IF(P31="Custom Reporting Solution",'⚙️ Rate Card'!C26,0)))))+IF(B31="",0,'⚙️ Rate Card'!C33+(D31/100)*'⚙️ Rate Card'!C34))*'⚙️ Rate Card'!C37)</f>
        <v>0</v>
      </c>
      <c r="V31" s="41" t="n">
        <f aca="false">IF(B31="",0,(D31/100)*'⚙️ Rate Card'!C7+F31*'⚙️ Rate Card'!C9+G31*'⚙️ Rate Card'!C10+H31*'⚙️ Rate Card'!C11+I31*'⚙️ Rate Card'!C12+J31*'⚙️ Rate Card'!C13+K31*'⚙️ Rate Card'!C14+(D31/100)*'⚙️ Rate Card'!C8+(D31/100)*'⚙️ Rate Card'!C8)</f>
        <v>0</v>
      </c>
      <c r="W31" s="41" t="n">
        <f aca="false">IF(B31="",0,L31*IF(OR(O31="N/A",O31="None",O31=""),0,IF(O31="High",'⚙️ Rate Card'!C20,IF(O31="Medium",'⚙️ Rate Card'!C19,'⚙️ Rate Card'!C18))))</f>
        <v>0</v>
      </c>
      <c r="X31" s="41" t="n">
        <f aca="false">IF(B31="",0,M31*IF(OR(P31="Decommission",P31=""),'⚙️ Rate Card'!C29,IF(P31="EC2 (Lift &amp; Shift)",'⚙️ Rate Card'!C25,IF(P31="AWS QuickSight",'⚙️ Rate Card'!C27,IF(P31="Power BI",'⚙️ Rate Card'!C28,IF(P31="Custom Reporting Solution",'⚙️ Rate Card'!C26,0))))))</f>
        <v>0</v>
      </c>
      <c r="Y31" s="41" t="n">
        <f aca="false">IF(B31="",0,IF(B31="",0,'⚙️ Rate Card'!C33+(D31/100)*'⚙️ Rate Card'!C34))</f>
        <v>0</v>
      </c>
      <c r="Z31" s="41" t="n">
        <f aca="false">IF(B31="",0,((D31/100)*'⚙️ Rate Card'!C7+F31*'⚙️ Rate Card'!C9+G31*'⚙️ Rate Card'!C10+H31*'⚙️ Rate Card'!C11+I31*'⚙️ Rate Card'!C12+J31*'⚙️ Rate Card'!C13+K31*'⚙️ Rate Card'!C14+(D31/100)*'⚙️ Rate Card'!C8+L31*IF(OR(O31="N/A",O31="None",O31=""),0,IF(O31="High",'⚙️ Rate Card'!C20,IF(O31="Medium",'⚙️ Rate Card'!C19,'⚙️ Rate Card'!C18)))+M31*IF(OR(P31="Decommission",P31=""),'⚙️ Rate Card'!C29,IF(P31="EC2 (Lift &amp; Shift)",'⚙️ Rate Card'!C25,IF(P31="AWS QuickSight",'⚙️ Rate Card'!C27,IF(P31="Power BI",'⚙️ Rate Card'!C28,IF(P31="Custom Reporting Solution",'⚙️ Rate Card'!C26,0)))))+IF(B31="",0,'⚙️ Rate Card'!C33+(D31/100)*'⚙️ Rate Card'!C34))*'⚙️ Rate Card'!C35)</f>
        <v>0</v>
      </c>
      <c r="AA31" s="41" t="n">
        <f aca="false">IF(B31="",0,((D31/100)*'⚙️ Rate Card'!C7+F31*'⚙️ Rate Card'!C9+G31*'⚙️ Rate Card'!C10+H31*'⚙️ Rate Card'!C11+I31*'⚙️ Rate Card'!C12+J31*'⚙️ Rate Card'!C13+K31*'⚙️ Rate Card'!C14+(D31/100)*'⚙️ Rate Card'!C8+L31*IF(OR(O31="N/A",O31="None",O31=""),0,IF(O31="High",'⚙️ Rate Card'!C20,IF(O31="Medium",'⚙️ Rate Card'!C19,'⚙️ Rate Card'!C18)))+M31*IF(OR(P31="Decommission",P31=""),'⚙️ Rate Card'!C29,IF(P31="EC2 (Lift &amp; Shift)",'⚙️ Rate Card'!C25,IF(P31="AWS QuickSight",'⚙️ Rate Card'!C27,IF(P31="Power BI",'⚙️ Rate Card'!C28,IF(P31="Custom Reporting Solution",'⚙️ Rate Card'!C26,0)))))+IF(B31="",0,'⚙️ Rate Card'!C33+(D31/100)*'⚙️ Rate Card'!C34))*'⚙️ Rate Card'!C36)</f>
        <v>0</v>
      </c>
      <c r="AB31" s="37" t="n">
        <f aca="false">'✏️ SME Input'!T32</f>
        <v>0</v>
      </c>
      <c r="AC31" s="41" t="n">
        <f aca="false">IF(B31="",0,AB31*0.75)</f>
        <v>0</v>
      </c>
      <c r="AD31" s="41" t="n">
        <f aca="false">IF(B31="",0,AB31*0.75)</f>
        <v>0</v>
      </c>
      <c r="AE31" s="41" t="n">
        <f aca="false">IF(B31="",0,AB31*0.75)</f>
        <v>0</v>
      </c>
      <c r="AF31" s="41" t="n">
        <f aca="false">IF(B31="",0,AB31*2.25)</f>
        <v>0</v>
      </c>
      <c r="AG31" s="41" t="n">
        <f aca="false">IF(B31="",0,((D31/100)*'⚙️ Rate Card'!C7+F31*'⚙️ Rate Card'!C9+G31*'⚙️ Rate Card'!C10+H31*'⚙️ Rate Card'!C11+I31*'⚙️ Rate Card'!C12+J31*'⚙️ Rate Card'!C13+K31*'⚙️ Rate Card'!C14+(D31/100)*'⚙️ Rate Card'!C8)*0.4)</f>
        <v>0</v>
      </c>
      <c r="AH31" s="41" t="n">
        <f aca="false">IF(B31="",0,((D31/100)*'⚙️ Rate Card'!C7+F31*'⚙️ Rate Card'!C9+G31*'⚙️ Rate Card'!C10+H31*'⚙️ Rate Card'!C11+I31*'⚙️ Rate Card'!C12+J31*'⚙️ Rate Card'!C13+K31*'⚙️ Rate Card'!C14+(D31/100)*'⚙️ Rate Card'!C8)*0.4)</f>
        <v>0</v>
      </c>
      <c r="AI31" s="41" t="n">
        <f aca="false">IF(B31="",0,((D31/100)*'⚙️ Rate Card'!C7+F31*'⚙️ Rate Card'!C9+G31*'⚙️ Rate Card'!C10+H31*'⚙️ Rate Card'!C11+I31*'⚙️ Rate Card'!C12+J31*'⚙️ Rate Card'!C13+K31*'⚙️ Rate Card'!C14+(D31/100)*'⚙️ Rate Card'!C8)*0.2)</f>
        <v>0</v>
      </c>
      <c r="AJ31" s="41" t="n">
        <f aca="false">IF(B31="",0,(L31*IF(OR(O31="N/A",O31="None",O31=""),0,IF(O31="High",'⚙️ Rate Card'!C20,IF(O31="Medium",'⚙️ Rate Card'!C19,'⚙️ Rate Card'!C18))))*0.5)</f>
        <v>0</v>
      </c>
      <c r="AK31" s="41" t="n">
        <f aca="false">IF(B31="",0,(L31*IF(OR(O31="N/A",O31="None",O31=""),0,IF(O31="High",'⚙️ Rate Card'!C20,IF(O31="Medium",'⚙️ Rate Card'!C19,'⚙️ Rate Card'!C18))))*0.35)</f>
        <v>0</v>
      </c>
      <c r="AL31" s="41" t="n">
        <f aca="false">IF(B31="",0,(L31*IF(OR(O31="N/A",O31="None",O31=""),0,IF(O31="High",'⚙️ Rate Card'!C20,IF(O31="Medium",'⚙️ Rate Card'!C19,'⚙️ Rate Card'!C18))))*0.15)</f>
        <v>0</v>
      </c>
      <c r="AM31" s="35" t="n">
        <f aca="false">IF(B31="",0,AG31+AJ31+(M31*IF(OR(P31="Decommission",P31=""),'⚙️ Rate Card'!C29,IF(P31="EC2 (Lift &amp; Shift)",'⚙️ Rate Card'!C25,IF(P31="AWS QuickSight",'⚙️ Rate Card'!C27,IF(P31="Power BI",'⚙️ Rate Card'!C28,IF(P31="Custom Reporting Solution",'⚙️ Rate Card'!C26,0))))))*0.4+(IF(B31="",0,'⚙️ Rate Card'!C33+(D31/100)*'⚙️ Rate Card'!C34))*0.4+AC31+(((D31/100)*'⚙️ Rate Card'!C7+F31*'⚙️ Rate Card'!C9+G31*'⚙️ Rate Card'!C10+H31*'⚙️ Rate Card'!C11+I31*'⚙️ Rate Card'!C12+J31*'⚙️ Rate Card'!C13+K31*'⚙️ Rate Card'!C14+(D31/100)*'⚙️ Rate Card'!C8+L31*IF(OR(O31="N/A",O31="None",O31=""),0,IF(O31="High",'⚙️ Rate Card'!C20,IF(O31="Medium",'⚙️ Rate Card'!C19,'⚙️ Rate Card'!C18)))+M31*IF(OR(P31="Decommission",P31=""),'⚙️ Rate Card'!C29,IF(P31="EC2 (Lift &amp; Shift)",'⚙️ Rate Card'!C25,IF(P31="AWS QuickSight",'⚙️ Rate Card'!C27,IF(P31="Power BI",'⚙️ Rate Card'!C28,IF(P31="Custom Reporting Solution",'⚙️ Rate Card'!C26,0)))))+IF(B31="",0,'⚙️ Rate Card'!C33+(D31/100)*'⚙️ Rate Card'!C34)))*'⚙️ Rate Card'!C35*0.4+(((D31/100)*'⚙️ Rate Card'!C7+F31*'⚙️ Rate Card'!C9+G31*'⚙️ Rate Card'!C10+H31*'⚙️ Rate Card'!C11+I31*'⚙️ Rate Card'!C12+J31*'⚙️ Rate Card'!C13+K31*'⚙️ Rate Card'!C14+(D31/100)*'⚙️ Rate Card'!C8+L31*IF(OR(O31="N/A",O31="None",O31=""),0,IF(O31="High",'⚙️ Rate Card'!C20,IF(O31="Medium",'⚙️ Rate Card'!C19,'⚙️ Rate Card'!C18)))+M31*IF(OR(P31="Decommission",P31=""),'⚙️ Rate Card'!C29,IF(P31="EC2 (Lift &amp; Shift)",'⚙️ Rate Card'!C25,IF(P31="AWS QuickSight",'⚙️ Rate Card'!C27,IF(P31="Power BI",'⚙️ Rate Card'!C28,IF(P31="Custom Reporting Solution",'⚙️ Rate Card'!C26,0)))))+IF(B31="",0,'⚙️ Rate Card'!C33+(D31/100)*'⚙️ Rate Card'!C34)))*'⚙️ Rate Card'!C36*0.4+(((D31/100)*'⚙️ Rate Card'!C7+F31*'⚙️ Rate Card'!C9+G31*'⚙️ Rate Card'!C10+H31*'⚙️ Rate Card'!C11+I31*'⚙️ Rate Card'!C12+J31*'⚙️ Rate Card'!C13+K31*'⚙️ Rate Card'!C14+(D31/100)*'⚙️ Rate Card'!C8+L31*IF(OR(O31="N/A",O31="None",O31=""),0,IF(O31="High",'⚙️ Rate Card'!C20,IF(O31="Medium",'⚙️ Rate Card'!C19,'⚙️ Rate Card'!C18)))+M31*IF(OR(P31="Decommission",P31=""),'⚙️ Rate Card'!C29,IF(P31="EC2 (Lift &amp; Shift)",'⚙️ Rate Card'!C25,IF(P31="AWS QuickSight",'⚙️ Rate Card'!C27,IF(P31="Power BI",'⚙️ Rate Card'!C28,IF(P31="Custom Reporting Solution",'⚙️ Rate Card'!C26,0)))))+IF(B31="",0,'⚙️ Rate Card'!C33+(D31/100)*'⚙️ Rate Card'!C34)))*'⚙️ Rate Card'!C37*0.4)</f>
        <v>0</v>
      </c>
      <c r="AN31" s="38" t="n">
        <f aca="false">IF(B31="",0,AH31+AK31+(M31*IF(OR(P31="Decommission",P31=""),'⚙️ Rate Card'!C29,IF(P31="EC2 (Lift &amp; Shift)",'⚙️ Rate Card'!C25,IF(P31="AWS QuickSight",'⚙️ Rate Card'!C27,IF(P31="Power BI",'⚙️ Rate Card'!C28,IF(P31="Custom Reporting Solution",'⚙️ Rate Card'!C26,0))))))*0.4+(IF(B31="",0,'⚙️ Rate Card'!C33+(D31/100)*'⚙️ Rate Card'!C34))*0.4+AD31+(((D31/100)*'⚙️ Rate Card'!C7+F31*'⚙️ Rate Card'!C9+G31*'⚙️ Rate Card'!C10+H31*'⚙️ Rate Card'!C11+I31*'⚙️ Rate Card'!C12+J31*'⚙️ Rate Card'!C13+K31*'⚙️ Rate Card'!C14+(D31/100)*'⚙️ Rate Card'!C8+L31*IF(OR(O31="N/A",O31="None",O31=""),0,IF(O31="High",'⚙️ Rate Card'!C20,IF(O31="Medium",'⚙️ Rate Card'!C19,'⚙️ Rate Card'!C18)))+M31*IF(OR(P31="Decommission",P31=""),'⚙️ Rate Card'!C29,IF(P31="EC2 (Lift &amp; Shift)",'⚙️ Rate Card'!C25,IF(P31="AWS QuickSight",'⚙️ Rate Card'!C27,IF(P31="Power BI",'⚙️ Rate Card'!C28,IF(P31="Custom Reporting Solution",'⚙️ Rate Card'!C26,0)))))+IF(B31="",0,'⚙️ Rate Card'!C33+(D31/100)*'⚙️ Rate Card'!C34)))*'⚙️ Rate Card'!C35*0.4+(((D31/100)*'⚙️ Rate Card'!C7+F31*'⚙️ Rate Card'!C9+G31*'⚙️ Rate Card'!C10+H31*'⚙️ Rate Card'!C11+I31*'⚙️ Rate Card'!C12+J31*'⚙️ Rate Card'!C13+K31*'⚙️ Rate Card'!C14+(D31/100)*'⚙️ Rate Card'!C8+L31*IF(OR(O31="N/A",O31="None",O31=""),0,IF(O31="High",'⚙️ Rate Card'!C20,IF(O31="Medium",'⚙️ Rate Card'!C19,'⚙️ Rate Card'!C18)))+M31*IF(OR(P31="Decommission",P31=""),'⚙️ Rate Card'!C29,IF(P31="EC2 (Lift &amp; Shift)",'⚙️ Rate Card'!C25,IF(P31="AWS QuickSight",'⚙️ Rate Card'!C27,IF(P31="Power BI",'⚙️ Rate Card'!C28,IF(P31="Custom Reporting Solution",'⚙️ Rate Card'!C26,0)))))+IF(B31="",0,'⚙️ Rate Card'!C33+(D31/100)*'⚙️ Rate Card'!C34)))*'⚙️ Rate Card'!C36*0.4+(((D31/100)*'⚙️ Rate Card'!C7+F31*'⚙️ Rate Card'!C9+G31*'⚙️ Rate Card'!C10+H31*'⚙️ Rate Card'!C11+I31*'⚙️ Rate Card'!C12+J31*'⚙️ Rate Card'!C13+K31*'⚙️ Rate Card'!C14+(D31/100)*'⚙️ Rate Card'!C8+L31*IF(OR(O31="N/A",O31="None",O31=""),0,IF(O31="High",'⚙️ Rate Card'!C20,IF(O31="Medium",'⚙️ Rate Card'!C19,'⚙️ Rate Card'!C18)))+M31*IF(OR(P31="Decommission",P31=""),'⚙️ Rate Card'!C29,IF(P31="EC2 (Lift &amp; Shift)",'⚙️ Rate Card'!C25,IF(P31="AWS QuickSight",'⚙️ Rate Card'!C27,IF(P31="Power BI",'⚙️ Rate Card'!C28,IF(P31="Custom Reporting Solution",'⚙️ Rate Card'!C26,0)))))+IF(B31="",0,'⚙️ Rate Card'!C33+(D31/100)*'⚙️ Rate Card'!C34)))*'⚙️ Rate Card'!C37*0.4)</f>
        <v>0</v>
      </c>
      <c r="AO31" s="39" t="n">
        <f aca="false">IF(B31="",0,AI31+AL31+(M31*IF(OR(P31="Decommission",P31=""),'⚙️ Rate Card'!C29,IF(P31="EC2 (Lift &amp; Shift)",'⚙️ Rate Card'!C25,IF(P31="AWS QuickSight",'⚙️ Rate Card'!C27,IF(P31="Power BI",'⚙️ Rate Card'!C28,IF(P31="Custom Reporting Solution",'⚙️ Rate Card'!C26,0))))))*0.2+(IF(B31="",0,'⚙️ Rate Card'!C33+(D31/100)*'⚙️ Rate Card'!C34))*0.2+AE31+(((D31/100)*'⚙️ Rate Card'!C7+F31*'⚙️ Rate Card'!C9+G31*'⚙️ Rate Card'!C10+H31*'⚙️ Rate Card'!C11+I31*'⚙️ Rate Card'!C12+J31*'⚙️ Rate Card'!C13+K31*'⚙️ Rate Card'!C14+(D31/100)*'⚙️ Rate Card'!C8+L31*IF(OR(O31="N/A",O31="None",O31=""),0,IF(O31="High",'⚙️ Rate Card'!C20,IF(O31="Medium",'⚙️ Rate Card'!C19,'⚙️ Rate Card'!C18)))+M31*IF(OR(P31="Decommission",P31=""),'⚙️ Rate Card'!C29,IF(P31="EC2 (Lift &amp; Shift)",'⚙️ Rate Card'!C25,IF(P31="AWS QuickSight",'⚙️ Rate Card'!C27,IF(P31="Power BI",'⚙️ Rate Card'!C28,IF(P31="Custom Reporting Solution",'⚙️ Rate Card'!C26,0)))))+IF(B31="",0,'⚙️ Rate Card'!C33+(D31/100)*'⚙️ Rate Card'!C34)))*'⚙️ Rate Card'!C35*0.2+(((D31/100)*'⚙️ Rate Card'!C7+F31*'⚙️ Rate Card'!C9+G31*'⚙️ Rate Card'!C10+H31*'⚙️ Rate Card'!C11+I31*'⚙️ Rate Card'!C12+J31*'⚙️ Rate Card'!C13+K31*'⚙️ Rate Card'!C14+(D31/100)*'⚙️ Rate Card'!C8+L31*IF(OR(O31="N/A",O31="None",O31=""),0,IF(O31="High",'⚙️ Rate Card'!C20,IF(O31="Medium",'⚙️ Rate Card'!C19,'⚙️ Rate Card'!C18)))+M31*IF(OR(P31="Decommission",P31=""),'⚙️ Rate Card'!C29,IF(P31="EC2 (Lift &amp; Shift)",'⚙️ Rate Card'!C25,IF(P31="AWS QuickSight",'⚙️ Rate Card'!C27,IF(P31="Power BI",'⚙️ Rate Card'!C28,IF(P31="Custom Reporting Solution",'⚙️ Rate Card'!C26,0)))))+IF(B31="",0,'⚙️ Rate Card'!C33+(D31/100)*'⚙️ Rate Card'!C34)))*'⚙️ Rate Card'!C36*0.2+(((D31/100)*'⚙️ Rate Card'!C7+F31*'⚙️ Rate Card'!C9+G31*'⚙️ Rate Card'!C10+H31*'⚙️ Rate Card'!C11+I31*'⚙️ Rate Card'!C12+J31*'⚙️ Rate Card'!C13+K31*'⚙️ Rate Card'!C14+(D31/100)*'⚙️ Rate Card'!C8+L31*IF(OR(O31="N/A",O31="None",O31=""),0,IF(O31="High",'⚙️ Rate Card'!C20,IF(O31="Medium",'⚙️ Rate Card'!C19,'⚙️ Rate Card'!C18)))+M31*IF(OR(P31="Decommission",P31=""),'⚙️ Rate Card'!C29,IF(P31="EC2 (Lift &amp; Shift)",'⚙️ Rate Card'!C25,IF(P31="AWS QuickSight",'⚙️ Rate Card'!C27,IF(P31="Power BI",'⚙️ Rate Card'!C28,IF(P31="Custom Reporting Solution",'⚙️ Rate Card'!C26,0)))))+IF(B31="",0,'⚙️ Rate Card'!C33+(D31/100)*'⚙️ Rate Card'!C34)))*'⚙️ Rate Card'!C37*0.2)</f>
        <v>0</v>
      </c>
      <c r="AP31" s="42" t="n">
        <f aca="false">'✏️ SME Input'!B32</f>
        <v>0</v>
      </c>
      <c r="AQ31" s="42" t="n">
        <f aca="false">'✏️ SME Input'!C32</f>
        <v>0</v>
      </c>
      <c r="AR31" s="42" t="n">
        <f aca="false">'✏️ SME Input'!D32</f>
        <v>0</v>
      </c>
    </row>
    <row r="32" customFormat="false" ht="18" hidden="false" customHeight="true" outlineLevel="0" collapsed="false">
      <c r="B32" s="30" t="n">
        <f aca="false">'✏️ SME Input'!E33</f>
        <v>0</v>
      </c>
      <c r="C32" s="31" t="str">
        <f aca="false">IF(B32="","",IF(D32&gt;1000,"T3 Complex",IF(D32&gt;500,"T2 Moderate","T1 Simple")))</f>
        <v/>
      </c>
      <c r="D32" s="32" t="n">
        <f aca="false">'✏️ SME Input'!G33</f>
        <v>0</v>
      </c>
      <c r="E32" s="32" t="n">
        <f aca="false">'✏️ SME Input'!H33</f>
        <v>0</v>
      </c>
      <c r="F32" s="32" t="n">
        <f aca="false">'✏️ SME Input'!I33</f>
        <v>0</v>
      </c>
      <c r="G32" s="32" t="n">
        <f aca="false">'✏️ SME Input'!J33</f>
        <v>0</v>
      </c>
      <c r="H32" s="32" t="n">
        <f aca="false">'✏️ SME Input'!K33</f>
        <v>0</v>
      </c>
      <c r="I32" s="32" t="n">
        <f aca="false">'✏️ SME Input'!L33</f>
        <v>0</v>
      </c>
      <c r="J32" s="32" t="n">
        <f aca="false">'✏️ SME Input'!M33</f>
        <v>0</v>
      </c>
      <c r="K32" s="32" t="n">
        <f aca="false">'✏️ SME Input'!N33</f>
        <v>0</v>
      </c>
      <c r="L32" s="32" t="n">
        <f aca="false">'✏️ SME Input'!O33</f>
        <v>0</v>
      </c>
      <c r="M32" s="32" t="n">
        <f aca="false">'✏️ SME Input'!P33</f>
        <v>0</v>
      </c>
      <c r="N32" s="17" t="n">
        <f aca="false">'✏️ SME Input'!Q33</f>
        <v>0</v>
      </c>
      <c r="O32" s="33" t="n">
        <f aca="false">'✏️ SME Input'!R33</f>
        <v>0</v>
      </c>
      <c r="P32" s="33" t="n">
        <f aca="false">'✏️ SME Input'!S33</f>
        <v>0</v>
      </c>
      <c r="Q32" s="32" t="n">
        <f aca="false">'✏️ SME Input'!F33</f>
        <v>0</v>
      </c>
      <c r="R32" s="34" t="n">
        <f aca="false">IF(B32="",0,((D32/100)*'⚙️ Rate Card'!C7+F32*'⚙️ Rate Card'!C9+G32*'⚙️ Rate Card'!C10+H32*'⚙️ Rate Card'!C11+I32*'⚙️ Rate Card'!C12+J32*'⚙️ Rate Card'!C13+K32*'⚙️ Rate Card'!C14+(D32/100)*'⚙️ Rate Card'!C8+L32*IF(OR(O32="N/A",O32="None",O32=""),0,IF(O32="High",'⚙️ Rate Card'!C20,IF(O32="Medium",'⚙️ Rate Card'!C19,'⚙️ Rate Card'!C18)))+M32*IF(OR(P32="Decommission",P32=""),'⚙️ Rate Card'!C29,IF(P32="EC2 (Lift &amp; Shift)",'⚙️ Rate Card'!C25,IF(P32="AWS QuickSight",'⚙️ Rate Card'!C27,IF(P32="Power BI",'⚙️ Rate Card'!C28,IF(P32="Custom Reporting Solution",'⚙️ Rate Card'!C26,0)))))+IF(B32="",0,'⚙️ Rate Card'!C33+(D32/100)*'⚙️ Rate Card'!C34))*'⚙️ Rate Card'!C37+(D32/100)*'⚙️ Rate Card'!C7+F32*'⚙️ Rate Card'!C9+G32*'⚙️ Rate Card'!C10+H32*'⚙️ Rate Card'!C11+I32*'⚙️ Rate Card'!C12+J32*'⚙️ Rate Card'!C13+K32*'⚙️ Rate Card'!C14+(D32/100)*'⚙️ Rate Card'!C8+(D32/100)*'⚙️ Rate Card'!C8+L32*IF(OR(O32="N/A",O32="None",O32=""),0,IF(O32="High",'⚙️ Rate Card'!C20,IF(O32="Medium",'⚙️ Rate Card'!C19,'⚙️ Rate Card'!C18)))+M32*IF(OR(P32="Decommission",P32=""),'⚙️ Rate Card'!C29,IF(P32="EC2 (Lift &amp; Shift)",'⚙️ Rate Card'!C25,IF(P32="AWS QuickSight",'⚙️ Rate Card'!C27,IF(P32="Power BI",'⚙️ Rate Card'!C28,IF(P32="Custom Reporting Solution",'⚙️ Rate Card'!C26,0)))))+IF(B32="",0,'⚙️ Rate Card'!C33+(D32/100)*'⚙️ Rate Card'!C34)+((D32/100)*'⚙️ Rate Card'!C7+F32*'⚙️ Rate Card'!C9+G32*'⚙️ Rate Card'!C10+H32*'⚙️ Rate Card'!C11+I32*'⚙️ Rate Card'!C12+J32*'⚙️ Rate Card'!C13+K32*'⚙️ Rate Card'!C14+(D32/100)*'⚙️ Rate Card'!C8+L32*IF(OR(O32="N/A",O32="None",O32=""),0,IF(O32="High",'⚙️ Rate Card'!C20,IF(O32="Medium",'⚙️ Rate Card'!C19,'⚙️ Rate Card'!C18)))+M32*IF(OR(P32="Decommission",P32=""),'⚙️ Rate Card'!C29,IF(P32="EC2 (Lift &amp; Shift)",'⚙️ Rate Card'!C25,IF(P32="AWS QuickSight",'⚙️ Rate Card'!C27,IF(P32="Power BI",'⚙️ Rate Card'!C28,IF(P32="Custom Reporting Solution",'⚙️ Rate Card'!C26,0)))))+IF(B32="",0,'⚙️ Rate Card'!C33+(D32/100)*'⚙️ Rate Card'!C34))*'⚙️ Rate Card'!C35+((D32/100)*'⚙️ Rate Card'!C7+F32*'⚙️ Rate Card'!C9+G32*'⚙️ Rate Card'!C10+H32*'⚙️ Rate Card'!C11+I32*'⚙️ Rate Card'!C12+J32*'⚙️ Rate Card'!C13+K32*'⚙️ Rate Card'!C14+(D32/100)*'⚙️ Rate Card'!C8+L32*IF(OR(O32="N/A",O32="None",O32=""),0,IF(O32="High",'⚙️ Rate Card'!C20,IF(O32="Medium",'⚙️ Rate Card'!C19,'⚙️ Rate Card'!C18)))+M32*IF(OR(P32="Decommission",P32=""),'⚙️ Rate Card'!C29,IF(P32="EC2 (Lift &amp; Shift)",'⚙️ Rate Card'!C25,IF(P32="AWS QuickSight",'⚙️ Rate Card'!C27,IF(P32="Power BI",'⚙️ Rate Card'!C28,IF(P32="Custom Reporting Solution",'⚙️ Rate Card'!C26,0)))))+IF(B32="",0,'⚙️ Rate Card'!C33+(D32/100)*'⚙️ Rate Card'!C34))*'⚙️ Rate Card'!C36)</f>
        <v>0</v>
      </c>
      <c r="S32" s="34" t="n">
        <f aca="false">IF(B32="",0,(((D32/100)*'⚙️ Rate Card'!C7+F32*'⚙️ Rate Card'!C9+G32*'⚙️ Rate Card'!C10+H32*'⚙️ Rate Card'!C11+I32*'⚙️ Rate Card'!C12+J32*'⚙️ Rate Card'!C13+K32*'⚙️ Rate Card'!C14+(D32/100)*'⚙️ Rate Card'!C8+L32*IF(OR(O32="N/A",O32="None",O32=""),0,IF(O32="High",'⚙️ Rate Card'!C20,IF(O32="Medium",'⚙️ Rate Card'!C19,'⚙️ Rate Card'!C18)))+M32*IF(OR(P32="Decommission",P32=""),'⚙️ Rate Card'!C29,IF(P32="EC2 (Lift &amp; Shift)",'⚙️ Rate Card'!C25,IF(P32="AWS QuickSight",'⚙️ Rate Card'!C27,IF(P32="Power BI",'⚙️ Rate Card'!C28,IF(P32="Custom Reporting Solution",'⚙️ Rate Card'!C26,0)))))+IF(B32="",0,'⚙️ Rate Card'!C33+(D32/100)*'⚙️ Rate Card'!C34))*'⚙️ Rate Card'!C37)*(1-'📊 Dashboard'!C10/100)+(((D32/100)*'⚙️ Rate Card'!C7+F32*'⚙️ Rate Card'!C9+G32*'⚙️ Rate Card'!C10+H32*'⚙️ Rate Card'!C11+I32*'⚙️ Rate Card'!C12+J32*'⚙️ Rate Card'!C13+K32*'⚙️ Rate Card'!C14+(D32/100)*'⚙️ Rate Card'!C8+(D32/100)*'⚙️ Rate Card'!C8))*(1-'📊 Dashboard'!C10/100)+(L32*IF(OR(O32="N/A",O32="None",O32=""),0,IF(O32="High",'⚙️ Rate Card'!C20,IF(O32="Medium",'⚙️ Rate Card'!C19,'⚙️ Rate Card'!C18))))*(1-'📊 Dashboard'!C11/100)+(M32*IF(OR(P32="Decommission",P32=""),'⚙️ Rate Card'!C29,IF(P32="EC2 (Lift &amp; Shift)",'⚙️ Rate Card'!C25,IF(P32="AWS QuickSight",'⚙️ Rate Card'!C27,IF(P32="Power BI",'⚙️ Rate Card'!C28,IF(P32="Custom Reporting Solution",'⚙️ Rate Card'!C26,0))))))*(1-'📊 Dashboard'!C12/100)+(IF(B32="",0,'⚙️ Rate Card'!C33+(D32/100)*'⚙️ Rate Card'!C34))*(1-'📊 Dashboard'!C10/100)+(((D32/100)*'⚙️ Rate Card'!C7+F32*'⚙️ Rate Card'!C9+G32*'⚙️ Rate Card'!C10+H32*'⚙️ Rate Card'!C11+I32*'⚙️ Rate Card'!C12+J32*'⚙️ Rate Card'!C13+K32*'⚙️ Rate Card'!C14+(D32/100)*'⚙️ Rate Card'!C8+L32*IF(OR(O32="N/A",O32="None",O32=""),0,IF(O32="High",'⚙️ Rate Card'!C20,IF(O32="Medium",'⚙️ Rate Card'!C19,'⚙️ Rate Card'!C18)))+M32*IF(OR(P32="Decommission",P32=""),'⚙️ Rate Card'!C29,IF(P32="EC2 (Lift &amp; Shift)",'⚙️ Rate Card'!C25,IF(P32="AWS QuickSight",'⚙️ Rate Card'!C27,IF(P32="Power BI",'⚙️ Rate Card'!C28,IF(P32="Custom Reporting Solution",'⚙️ Rate Card'!C26,0)))))+IF(B32="",0,'⚙️ Rate Card'!C33+(D32/100)*'⚙️ Rate Card'!C34))*'⚙️ Rate Card'!C35)*(1-'📊 Dashboard'!C13/100)+(((D32/100)*'⚙️ Rate Card'!C7+F32*'⚙️ Rate Card'!C9+G32*'⚙️ Rate Card'!C10+H32*'⚙️ Rate Card'!C11+I32*'⚙️ Rate Card'!C12+J32*'⚙️ Rate Card'!C13+K32*'⚙️ Rate Card'!C14+(D32/100)*'⚙️ Rate Card'!C8+L32*IF(OR(O32="N/A",O32="None",O32=""),0,IF(O32="High",'⚙️ Rate Card'!C20,IF(O32="Medium",'⚙️ Rate Card'!C19,'⚙️ Rate Card'!C18)))+M32*IF(OR(P32="Decommission",P32=""),'⚙️ Rate Card'!C29,IF(P32="EC2 (Lift &amp; Shift)",'⚙️ Rate Card'!C25,IF(P32="AWS QuickSight",'⚙️ Rate Card'!C27,IF(P32="Power BI",'⚙️ Rate Card'!C28,IF(P32="Custom Reporting Solution",'⚙️ Rate Card'!C26,0)))))+IF(B32="",0,'⚙️ Rate Card'!C33+(D32/100)*'⚙️ Rate Card'!C34))*'⚙️ Rate Card'!C36)*(1-'📊 Dashboard'!C10/100))</f>
        <v>0</v>
      </c>
      <c r="T32" s="35" t="n">
        <f aca="false">IF(B32="",0,S32*(1+'📊 Dashboard'!C14/100))</f>
        <v>0</v>
      </c>
      <c r="U32" s="36" t="n">
        <f aca="false">IF(B32="",0,((D32/100)*'⚙️ Rate Card'!C7+F32*'⚙️ Rate Card'!C9+G32*'⚙️ Rate Card'!C10+H32*'⚙️ Rate Card'!C11+I32*'⚙️ Rate Card'!C12+J32*'⚙️ Rate Card'!C13+K32*'⚙️ Rate Card'!C14+(D32/100)*'⚙️ Rate Card'!C8+L32*IF(OR(O32="N/A",O32="None",O32=""),0,IF(O32="High",'⚙️ Rate Card'!C20,IF(O32="Medium",'⚙️ Rate Card'!C19,'⚙️ Rate Card'!C18)))+M32*IF(OR(P32="Decommission",P32=""),'⚙️ Rate Card'!C29,IF(P32="EC2 (Lift &amp; Shift)",'⚙️ Rate Card'!C25,IF(P32="AWS QuickSight",'⚙️ Rate Card'!C27,IF(P32="Power BI",'⚙️ Rate Card'!C28,IF(P32="Custom Reporting Solution",'⚙️ Rate Card'!C26,0)))))+IF(B32="",0,'⚙️ Rate Card'!C33+(D32/100)*'⚙️ Rate Card'!C34))*'⚙️ Rate Card'!C37)</f>
        <v>0</v>
      </c>
      <c r="V32" s="36" t="n">
        <f aca="false">IF(B32="",0,(D32/100)*'⚙️ Rate Card'!C7+F32*'⚙️ Rate Card'!C9+G32*'⚙️ Rate Card'!C10+H32*'⚙️ Rate Card'!C11+I32*'⚙️ Rate Card'!C12+J32*'⚙️ Rate Card'!C13+K32*'⚙️ Rate Card'!C14+(D32/100)*'⚙️ Rate Card'!C8+(D32/100)*'⚙️ Rate Card'!C8)</f>
        <v>0</v>
      </c>
      <c r="W32" s="36" t="n">
        <f aca="false">IF(B32="",0,L32*IF(OR(O32="N/A",O32="None",O32=""),0,IF(O32="High",'⚙️ Rate Card'!C20,IF(O32="Medium",'⚙️ Rate Card'!C19,'⚙️ Rate Card'!C18))))</f>
        <v>0</v>
      </c>
      <c r="X32" s="36" t="n">
        <f aca="false">IF(B32="",0,M32*IF(OR(P32="Decommission",P32=""),'⚙️ Rate Card'!C29,IF(P32="EC2 (Lift &amp; Shift)",'⚙️ Rate Card'!C25,IF(P32="AWS QuickSight",'⚙️ Rate Card'!C27,IF(P32="Power BI",'⚙️ Rate Card'!C28,IF(P32="Custom Reporting Solution",'⚙️ Rate Card'!C26,0))))))</f>
        <v>0</v>
      </c>
      <c r="Y32" s="36" t="n">
        <f aca="false">IF(B32="",0,IF(B32="",0,'⚙️ Rate Card'!C33+(D32/100)*'⚙️ Rate Card'!C34))</f>
        <v>0</v>
      </c>
      <c r="Z32" s="36" t="n">
        <f aca="false">IF(B32="",0,((D32/100)*'⚙️ Rate Card'!C7+F32*'⚙️ Rate Card'!C9+G32*'⚙️ Rate Card'!C10+H32*'⚙️ Rate Card'!C11+I32*'⚙️ Rate Card'!C12+J32*'⚙️ Rate Card'!C13+K32*'⚙️ Rate Card'!C14+(D32/100)*'⚙️ Rate Card'!C8+L32*IF(OR(O32="N/A",O32="None",O32=""),0,IF(O32="High",'⚙️ Rate Card'!C20,IF(O32="Medium",'⚙️ Rate Card'!C19,'⚙️ Rate Card'!C18)))+M32*IF(OR(P32="Decommission",P32=""),'⚙️ Rate Card'!C29,IF(P32="EC2 (Lift &amp; Shift)",'⚙️ Rate Card'!C25,IF(P32="AWS QuickSight",'⚙️ Rate Card'!C27,IF(P32="Power BI",'⚙️ Rate Card'!C28,IF(P32="Custom Reporting Solution",'⚙️ Rate Card'!C26,0)))))+IF(B32="",0,'⚙️ Rate Card'!C33+(D32/100)*'⚙️ Rate Card'!C34))*'⚙️ Rate Card'!C35)</f>
        <v>0</v>
      </c>
      <c r="AA32" s="36" t="n">
        <f aca="false">IF(B32="",0,((D32/100)*'⚙️ Rate Card'!C7+F32*'⚙️ Rate Card'!C9+G32*'⚙️ Rate Card'!C10+H32*'⚙️ Rate Card'!C11+I32*'⚙️ Rate Card'!C12+J32*'⚙️ Rate Card'!C13+K32*'⚙️ Rate Card'!C14+(D32/100)*'⚙️ Rate Card'!C8+L32*IF(OR(O32="N/A",O32="None",O32=""),0,IF(O32="High",'⚙️ Rate Card'!C20,IF(O32="Medium",'⚙️ Rate Card'!C19,'⚙️ Rate Card'!C18)))+M32*IF(OR(P32="Decommission",P32=""),'⚙️ Rate Card'!C29,IF(P32="EC2 (Lift &amp; Shift)",'⚙️ Rate Card'!C25,IF(P32="AWS QuickSight",'⚙️ Rate Card'!C27,IF(P32="Power BI",'⚙️ Rate Card'!C28,IF(P32="Custom Reporting Solution",'⚙️ Rate Card'!C26,0)))))+IF(B32="",0,'⚙️ Rate Card'!C33+(D32/100)*'⚙️ Rate Card'!C34))*'⚙️ Rate Card'!C36)</f>
        <v>0</v>
      </c>
      <c r="AB32" s="37" t="n">
        <f aca="false">'✏️ SME Input'!T33</f>
        <v>0</v>
      </c>
      <c r="AC32" s="36" t="n">
        <f aca="false">IF(B32="",0,AB32*0.75)</f>
        <v>0</v>
      </c>
      <c r="AD32" s="36" t="n">
        <f aca="false">IF(B32="",0,AB32*0.75)</f>
        <v>0</v>
      </c>
      <c r="AE32" s="36" t="n">
        <f aca="false">IF(B32="",0,AB32*0.75)</f>
        <v>0</v>
      </c>
      <c r="AF32" s="36" t="n">
        <f aca="false">IF(B32="",0,AB32*2.25)</f>
        <v>0</v>
      </c>
      <c r="AG32" s="36" t="n">
        <f aca="false">IF(B32="",0,((D32/100)*'⚙️ Rate Card'!C7+F32*'⚙️ Rate Card'!C9+G32*'⚙️ Rate Card'!C10+H32*'⚙️ Rate Card'!C11+I32*'⚙️ Rate Card'!C12+J32*'⚙️ Rate Card'!C13+K32*'⚙️ Rate Card'!C14+(D32/100)*'⚙️ Rate Card'!C8)*0.4)</f>
        <v>0</v>
      </c>
      <c r="AH32" s="36" t="n">
        <f aca="false">IF(B32="",0,((D32/100)*'⚙️ Rate Card'!C7+F32*'⚙️ Rate Card'!C9+G32*'⚙️ Rate Card'!C10+H32*'⚙️ Rate Card'!C11+I32*'⚙️ Rate Card'!C12+J32*'⚙️ Rate Card'!C13+K32*'⚙️ Rate Card'!C14+(D32/100)*'⚙️ Rate Card'!C8)*0.4)</f>
        <v>0</v>
      </c>
      <c r="AI32" s="36" t="n">
        <f aca="false">IF(B32="",0,((D32/100)*'⚙️ Rate Card'!C7+F32*'⚙️ Rate Card'!C9+G32*'⚙️ Rate Card'!C10+H32*'⚙️ Rate Card'!C11+I32*'⚙️ Rate Card'!C12+J32*'⚙️ Rate Card'!C13+K32*'⚙️ Rate Card'!C14+(D32/100)*'⚙️ Rate Card'!C8)*0.2)</f>
        <v>0</v>
      </c>
      <c r="AJ32" s="36" t="n">
        <f aca="false">IF(B32="",0,(L32*IF(OR(O32="N/A",O32="None",O32=""),0,IF(O32="High",'⚙️ Rate Card'!C20,IF(O32="Medium",'⚙️ Rate Card'!C19,'⚙️ Rate Card'!C18))))*0.5)</f>
        <v>0</v>
      </c>
      <c r="AK32" s="36" t="n">
        <f aca="false">IF(B32="",0,(L32*IF(OR(O32="N/A",O32="None",O32=""),0,IF(O32="High",'⚙️ Rate Card'!C20,IF(O32="Medium",'⚙️ Rate Card'!C19,'⚙️ Rate Card'!C18))))*0.35)</f>
        <v>0</v>
      </c>
      <c r="AL32" s="36" t="n">
        <f aca="false">IF(B32="",0,(L32*IF(OR(O32="N/A",O32="None",O32=""),0,IF(O32="High",'⚙️ Rate Card'!C20,IF(O32="Medium",'⚙️ Rate Card'!C19,'⚙️ Rate Card'!C18))))*0.15)</f>
        <v>0</v>
      </c>
      <c r="AM32" s="35" t="n">
        <f aca="false">IF(B32="",0,AG32+AJ32+(M32*IF(OR(P32="Decommission",P32=""),'⚙️ Rate Card'!C29,IF(P32="EC2 (Lift &amp; Shift)",'⚙️ Rate Card'!C25,IF(P32="AWS QuickSight",'⚙️ Rate Card'!C27,IF(P32="Power BI",'⚙️ Rate Card'!C28,IF(P32="Custom Reporting Solution",'⚙️ Rate Card'!C26,0))))))*0.4+(IF(B32="",0,'⚙️ Rate Card'!C33+(D32/100)*'⚙️ Rate Card'!C34))*0.4+AC32+(((D32/100)*'⚙️ Rate Card'!C7+F32*'⚙️ Rate Card'!C9+G32*'⚙️ Rate Card'!C10+H32*'⚙️ Rate Card'!C11+I32*'⚙️ Rate Card'!C12+J32*'⚙️ Rate Card'!C13+K32*'⚙️ Rate Card'!C14+(D32/100)*'⚙️ Rate Card'!C8+L32*IF(OR(O32="N/A",O32="None",O32=""),0,IF(O32="High",'⚙️ Rate Card'!C20,IF(O32="Medium",'⚙️ Rate Card'!C19,'⚙️ Rate Card'!C18)))+M32*IF(OR(P32="Decommission",P32=""),'⚙️ Rate Card'!C29,IF(P32="EC2 (Lift &amp; Shift)",'⚙️ Rate Card'!C25,IF(P32="AWS QuickSight",'⚙️ Rate Card'!C27,IF(P32="Power BI",'⚙️ Rate Card'!C28,IF(P32="Custom Reporting Solution",'⚙️ Rate Card'!C26,0)))))+IF(B32="",0,'⚙️ Rate Card'!C33+(D32/100)*'⚙️ Rate Card'!C34)))*'⚙️ Rate Card'!C35*0.4+(((D32/100)*'⚙️ Rate Card'!C7+F32*'⚙️ Rate Card'!C9+G32*'⚙️ Rate Card'!C10+H32*'⚙️ Rate Card'!C11+I32*'⚙️ Rate Card'!C12+J32*'⚙️ Rate Card'!C13+K32*'⚙️ Rate Card'!C14+(D32/100)*'⚙️ Rate Card'!C8+L32*IF(OR(O32="N/A",O32="None",O32=""),0,IF(O32="High",'⚙️ Rate Card'!C20,IF(O32="Medium",'⚙️ Rate Card'!C19,'⚙️ Rate Card'!C18)))+M32*IF(OR(P32="Decommission",P32=""),'⚙️ Rate Card'!C29,IF(P32="EC2 (Lift &amp; Shift)",'⚙️ Rate Card'!C25,IF(P32="AWS QuickSight",'⚙️ Rate Card'!C27,IF(P32="Power BI",'⚙️ Rate Card'!C28,IF(P32="Custom Reporting Solution",'⚙️ Rate Card'!C26,0)))))+IF(B32="",0,'⚙️ Rate Card'!C33+(D32/100)*'⚙️ Rate Card'!C34)))*'⚙️ Rate Card'!C36*0.4+(((D32/100)*'⚙️ Rate Card'!C7+F32*'⚙️ Rate Card'!C9+G32*'⚙️ Rate Card'!C10+H32*'⚙️ Rate Card'!C11+I32*'⚙️ Rate Card'!C12+J32*'⚙️ Rate Card'!C13+K32*'⚙️ Rate Card'!C14+(D32/100)*'⚙️ Rate Card'!C8+L32*IF(OR(O32="N/A",O32="None",O32=""),0,IF(O32="High",'⚙️ Rate Card'!C20,IF(O32="Medium",'⚙️ Rate Card'!C19,'⚙️ Rate Card'!C18)))+M32*IF(OR(P32="Decommission",P32=""),'⚙️ Rate Card'!C29,IF(P32="EC2 (Lift &amp; Shift)",'⚙️ Rate Card'!C25,IF(P32="AWS QuickSight",'⚙️ Rate Card'!C27,IF(P32="Power BI",'⚙️ Rate Card'!C28,IF(P32="Custom Reporting Solution",'⚙️ Rate Card'!C26,0)))))+IF(B32="",0,'⚙️ Rate Card'!C33+(D32/100)*'⚙️ Rate Card'!C34)))*'⚙️ Rate Card'!C37*0.4)</f>
        <v>0</v>
      </c>
      <c r="AN32" s="38" t="n">
        <f aca="false">IF(B32="",0,AH32+AK32+(M32*IF(OR(P32="Decommission",P32=""),'⚙️ Rate Card'!C29,IF(P32="EC2 (Lift &amp; Shift)",'⚙️ Rate Card'!C25,IF(P32="AWS QuickSight",'⚙️ Rate Card'!C27,IF(P32="Power BI",'⚙️ Rate Card'!C28,IF(P32="Custom Reporting Solution",'⚙️ Rate Card'!C26,0))))))*0.4+(IF(B32="",0,'⚙️ Rate Card'!C33+(D32/100)*'⚙️ Rate Card'!C34))*0.4+AD32+(((D32/100)*'⚙️ Rate Card'!C7+F32*'⚙️ Rate Card'!C9+G32*'⚙️ Rate Card'!C10+H32*'⚙️ Rate Card'!C11+I32*'⚙️ Rate Card'!C12+J32*'⚙️ Rate Card'!C13+K32*'⚙️ Rate Card'!C14+(D32/100)*'⚙️ Rate Card'!C8+L32*IF(OR(O32="N/A",O32="None",O32=""),0,IF(O32="High",'⚙️ Rate Card'!C20,IF(O32="Medium",'⚙️ Rate Card'!C19,'⚙️ Rate Card'!C18)))+M32*IF(OR(P32="Decommission",P32=""),'⚙️ Rate Card'!C29,IF(P32="EC2 (Lift &amp; Shift)",'⚙️ Rate Card'!C25,IF(P32="AWS QuickSight",'⚙️ Rate Card'!C27,IF(P32="Power BI",'⚙️ Rate Card'!C28,IF(P32="Custom Reporting Solution",'⚙️ Rate Card'!C26,0)))))+IF(B32="",0,'⚙️ Rate Card'!C33+(D32/100)*'⚙️ Rate Card'!C34)))*'⚙️ Rate Card'!C35*0.4+(((D32/100)*'⚙️ Rate Card'!C7+F32*'⚙️ Rate Card'!C9+G32*'⚙️ Rate Card'!C10+H32*'⚙️ Rate Card'!C11+I32*'⚙️ Rate Card'!C12+J32*'⚙️ Rate Card'!C13+K32*'⚙️ Rate Card'!C14+(D32/100)*'⚙️ Rate Card'!C8+L32*IF(OR(O32="N/A",O32="None",O32=""),0,IF(O32="High",'⚙️ Rate Card'!C20,IF(O32="Medium",'⚙️ Rate Card'!C19,'⚙️ Rate Card'!C18)))+M32*IF(OR(P32="Decommission",P32=""),'⚙️ Rate Card'!C29,IF(P32="EC2 (Lift &amp; Shift)",'⚙️ Rate Card'!C25,IF(P32="AWS QuickSight",'⚙️ Rate Card'!C27,IF(P32="Power BI",'⚙️ Rate Card'!C28,IF(P32="Custom Reporting Solution",'⚙️ Rate Card'!C26,0)))))+IF(B32="",0,'⚙️ Rate Card'!C33+(D32/100)*'⚙️ Rate Card'!C34)))*'⚙️ Rate Card'!C36*0.4+(((D32/100)*'⚙️ Rate Card'!C7+F32*'⚙️ Rate Card'!C9+G32*'⚙️ Rate Card'!C10+H32*'⚙️ Rate Card'!C11+I32*'⚙️ Rate Card'!C12+J32*'⚙️ Rate Card'!C13+K32*'⚙️ Rate Card'!C14+(D32/100)*'⚙️ Rate Card'!C8+L32*IF(OR(O32="N/A",O32="None",O32=""),0,IF(O32="High",'⚙️ Rate Card'!C20,IF(O32="Medium",'⚙️ Rate Card'!C19,'⚙️ Rate Card'!C18)))+M32*IF(OR(P32="Decommission",P32=""),'⚙️ Rate Card'!C29,IF(P32="EC2 (Lift &amp; Shift)",'⚙️ Rate Card'!C25,IF(P32="AWS QuickSight",'⚙️ Rate Card'!C27,IF(P32="Power BI",'⚙️ Rate Card'!C28,IF(P32="Custom Reporting Solution",'⚙️ Rate Card'!C26,0)))))+IF(B32="",0,'⚙️ Rate Card'!C33+(D32/100)*'⚙️ Rate Card'!C34)))*'⚙️ Rate Card'!C37*0.4)</f>
        <v>0</v>
      </c>
      <c r="AO32" s="39" t="n">
        <f aca="false">IF(B32="",0,AI32+AL32+(M32*IF(OR(P32="Decommission",P32=""),'⚙️ Rate Card'!C29,IF(P32="EC2 (Lift &amp; Shift)",'⚙️ Rate Card'!C25,IF(P32="AWS QuickSight",'⚙️ Rate Card'!C27,IF(P32="Power BI",'⚙️ Rate Card'!C28,IF(P32="Custom Reporting Solution",'⚙️ Rate Card'!C26,0))))))*0.2+(IF(B32="",0,'⚙️ Rate Card'!C33+(D32/100)*'⚙️ Rate Card'!C34))*0.2+AE32+(((D32/100)*'⚙️ Rate Card'!C7+F32*'⚙️ Rate Card'!C9+G32*'⚙️ Rate Card'!C10+H32*'⚙️ Rate Card'!C11+I32*'⚙️ Rate Card'!C12+J32*'⚙️ Rate Card'!C13+K32*'⚙️ Rate Card'!C14+(D32/100)*'⚙️ Rate Card'!C8+L32*IF(OR(O32="N/A",O32="None",O32=""),0,IF(O32="High",'⚙️ Rate Card'!C20,IF(O32="Medium",'⚙️ Rate Card'!C19,'⚙️ Rate Card'!C18)))+M32*IF(OR(P32="Decommission",P32=""),'⚙️ Rate Card'!C29,IF(P32="EC2 (Lift &amp; Shift)",'⚙️ Rate Card'!C25,IF(P32="AWS QuickSight",'⚙️ Rate Card'!C27,IF(P32="Power BI",'⚙️ Rate Card'!C28,IF(P32="Custom Reporting Solution",'⚙️ Rate Card'!C26,0)))))+IF(B32="",0,'⚙️ Rate Card'!C33+(D32/100)*'⚙️ Rate Card'!C34)))*'⚙️ Rate Card'!C35*0.2+(((D32/100)*'⚙️ Rate Card'!C7+F32*'⚙️ Rate Card'!C9+G32*'⚙️ Rate Card'!C10+H32*'⚙️ Rate Card'!C11+I32*'⚙️ Rate Card'!C12+J32*'⚙️ Rate Card'!C13+K32*'⚙️ Rate Card'!C14+(D32/100)*'⚙️ Rate Card'!C8+L32*IF(OR(O32="N/A",O32="None",O32=""),0,IF(O32="High",'⚙️ Rate Card'!C20,IF(O32="Medium",'⚙️ Rate Card'!C19,'⚙️ Rate Card'!C18)))+M32*IF(OR(P32="Decommission",P32=""),'⚙️ Rate Card'!C29,IF(P32="EC2 (Lift &amp; Shift)",'⚙️ Rate Card'!C25,IF(P32="AWS QuickSight",'⚙️ Rate Card'!C27,IF(P32="Power BI",'⚙️ Rate Card'!C28,IF(P32="Custom Reporting Solution",'⚙️ Rate Card'!C26,0)))))+IF(B32="",0,'⚙️ Rate Card'!C33+(D32/100)*'⚙️ Rate Card'!C34)))*'⚙️ Rate Card'!C36*0.2+(((D32/100)*'⚙️ Rate Card'!C7+F32*'⚙️ Rate Card'!C9+G32*'⚙️ Rate Card'!C10+H32*'⚙️ Rate Card'!C11+I32*'⚙️ Rate Card'!C12+J32*'⚙️ Rate Card'!C13+K32*'⚙️ Rate Card'!C14+(D32/100)*'⚙️ Rate Card'!C8+L32*IF(OR(O32="N/A",O32="None",O32=""),0,IF(O32="High",'⚙️ Rate Card'!C20,IF(O32="Medium",'⚙️ Rate Card'!C19,'⚙️ Rate Card'!C18)))+M32*IF(OR(P32="Decommission",P32=""),'⚙️ Rate Card'!C29,IF(P32="EC2 (Lift &amp; Shift)",'⚙️ Rate Card'!C25,IF(P32="AWS QuickSight",'⚙️ Rate Card'!C27,IF(P32="Power BI",'⚙️ Rate Card'!C28,IF(P32="Custom Reporting Solution",'⚙️ Rate Card'!C26,0)))))+IF(B32="",0,'⚙️ Rate Card'!C33+(D32/100)*'⚙️ Rate Card'!C34)))*'⚙️ Rate Card'!C37*0.2)</f>
        <v>0</v>
      </c>
      <c r="AP32" s="37" t="n">
        <f aca="false">'✏️ SME Input'!B33</f>
        <v>0</v>
      </c>
      <c r="AQ32" s="37" t="n">
        <f aca="false">'✏️ SME Input'!C33</f>
        <v>0</v>
      </c>
      <c r="AR32" s="37" t="n">
        <f aca="false">'✏️ SME Input'!D33</f>
        <v>0</v>
      </c>
    </row>
    <row r="33" customFormat="false" ht="18" hidden="false" customHeight="true" outlineLevel="0" collapsed="false">
      <c r="B33" s="40" t="n">
        <f aca="false">'✏️ SME Input'!E34</f>
        <v>0</v>
      </c>
      <c r="C33" s="31" t="str">
        <f aca="false">IF(B33="","",IF(D33&gt;1000,"T3 Complex",IF(D33&gt;500,"T2 Moderate","T1 Simple")))</f>
        <v/>
      </c>
      <c r="D33" s="32" t="n">
        <f aca="false">'✏️ SME Input'!G34</f>
        <v>0</v>
      </c>
      <c r="E33" s="32" t="n">
        <f aca="false">'✏️ SME Input'!H34</f>
        <v>0</v>
      </c>
      <c r="F33" s="32" t="n">
        <f aca="false">'✏️ SME Input'!I34</f>
        <v>0</v>
      </c>
      <c r="G33" s="32" t="n">
        <f aca="false">'✏️ SME Input'!J34</f>
        <v>0</v>
      </c>
      <c r="H33" s="32" t="n">
        <f aca="false">'✏️ SME Input'!K34</f>
        <v>0</v>
      </c>
      <c r="I33" s="32" t="n">
        <f aca="false">'✏️ SME Input'!L34</f>
        <v>0</v>
      </c>
      <c r="J33" s="32" t="n">
        <f aca="false">'✏️ SME Input'!M34</f>
        <v>0</v>
      </c>
      <c r="K33" s="32" t="n">
        <f aca="false">'✏️ SME Input'!N34</f>
        <v>0</v>
      </c>
      <c r="L33" s="32" t="n">
        <f aca="false">'✏️ SME Input'!O34</f>
        <v>0</v>
      </c>
      <c r="M33" s="32" t="n">
        <f aca="false">'✏️ SME Input'!P34</f>
        <v>0</v>
      </c>
      <c r="N33" s="17" t="n">
        <f aca="false">'✏️ SME Input'!Q34</f>
        <v>0</v>
      </c>
      <c r="O33" s="33" t="n">
        <f aca="false">'✏️ SME Input'!R34</f>
        <v>0</v>
      </c>
      <c r="P33" s="33" t="n">
        <f aca="false">'✏️ SME Input'!S34</f>
        <v>0</v>
      </c>
      <c r="Q33" s="32" t="n">
        <f aca="false">'✏️ SME Input'!F34</f>
        <v>0</v>
      </c>
      <c r="R33" s="34" t="n">
        <f aca="false">IF(B33="",0,((D33/100)*'⚙️ Rate Card'!C7+F33*'⚙️ Rate Card'!C9+G33*'⚙️ Rate Card'!C10+H33*'⚙️ Rate Card'!C11+I33*'⚙️ Rate Card'!C12+J33*'⚙️ Rate Card'!C13+K33*'⚙️ Rate Card'!C14+(D33/100)*'⚙️ Rate Card'!C8+L33*IF(OR(O33="N/A",O33="None",O33=""),0,IF(O33="High",'⚙️ Rate Card'!C20,IF(O33="Medium",'⚙️ Rate Card'!C19,'⚙️ Rate Card'!C18)))+M33*IF(OR(P33="Decommission",P33=""),'⚙️ Rate Card'!C29,IF(P33="EC2 (Lift &amp; Shift)",'⚙️ Rate Card'!C25,IF(P33="AWS QuickSight",'⚙️ Rate Card'!C27,IF(P33="Power BI",'⚙️ Rate Card'!C28,IF(P33="Custom Reporting Solution",'⚙️ Rate Card'!C26,0)))))+IF(B33="",0,'⚙️ Rate Card'!C33+(D33/100)*'⚙️ Rate Card'!C34))*'⚙️ Rate Card'!C37+(D33/100)*'⚙️ Rate Card'!C7+F33*'⚙️ Rate Card'!C9+G33*'⚙️ Rate Card'!C10+H33*'⚙️ Rate Card'!C11+I33*'⚙️ Rate Card'!C12+J33*'⚙️ Rate Card'!C13+K33*'⚙️ Rate Card'!C14+(D33/100)*'⚙️ Rate Card'!C8+(D33/100)*'⚙️ Rate Card'!C8+L33*IF(OR(O33="N/A",O33="None",O33=""),0,IF(O33="High",'⚙️ Rate Card'!C20,IF(O33="Medium",'⚙️ Rate Card'!C19,'⚙️ Rate Card'!C18)))+M33*IF(OR(P33="Decommission",P33=""),'⚙️ Rate Card'!C29,IF(P33="EC2 (Lift &amp; Shift)",'⚙️ Rate Card'!C25,IF(P33="AWS QuickSight",'⚙️ Rate Card'!C27,IF(P33="Power BI",'⚙️ Rate Card'!C28,IF(P33="Custom Reporting Solution",'⚙️ Rate Card'!C26,0)))))+IF(B33="",0,'⚙️ Rate Card'!C33+(D33/100)*'⚙️ Rate Card'!C34)+((D33/100)*'⚙️ Rate Card'!C7+F33*'⚙️ Rate Card'!C9+G33*'⚙️ Rate Card'!C10+H33*'⚙️ Rate Card'!C11+I33*'⚙️ Rate Card'!C12+J33*'⚙️ Rate Card'!C13+K33*'⚙️ Rate Card'!C14+(D33/100)*'⚙️ Rate Card'!C8+L33*IF(OR(O33="N/A",O33="None",O33=""),0,IF(O33="High",'⚙️ Rate Card'!C20,IF(O33="Medium",'⚙️ Rate Card'!C19,'⚙️ Rate Card'!C18)))+M33*IF(OR(P33="Decommission",P33=""),'⚙️ Rate Card'!C29,IF(P33="EC2 (Lift &amp; Shift)",'⚙️ Rate Card'!C25,IF(P33="AWS QuickSight",'⚙️ Rate Card'!C27,IF(P33="Power BI",'⚙️ Rate Card'!C28,IF(P33="Custom Reporting Solution",'⚙️ Rate Card'!C26,0)))))+IF(B33="",0,'⚙️ Rate Card'!C33+(D33/100)*'⚙️ Rate Card'!C34))*'⚙️ Rate Card'!C35+((D33/100)*'⚙️ Rate Card'!C7+F33*'⚙️ Rate Card'!C9+G33*'⚙️ Rate Card'!C10+H33*'⚙️ Rate Card'!C11+I33*'⚙️ Rate Card'!C12+J33*'⚙️ Rate Card'!C13+K33*'⚙️ Rate Card'!C14+(D33/100)*'⚙️ Rate Card'!C8+L33*IF(OR(O33="N/A",O33="None",O33=""),0,IF(O33="High",'⚙️ Rate Card'!C20,IF(O33="Medium",'⚙️ Rate Card'!C19,'⚙️ Rate Card'!C18)))+M33*IF(OR(P33="Decommission",P33=""),'⚙️ Rate Card'!C29,IF(P33="EC2 (Lift &amp; Shift)",'⚙️ Rate Card'!C25,IF(P33="AWS QuickSight",'⚙️ Rate Card'!C27,IF(P33="Power BI",'⚙️ Rate Card'!C28,IF(P33="Custom Reporting Solution",'⚙️ Rate Card'!C26,0)))))+IF(B33="",0,'⚙️ Rate Card'!C33+(D33/100)*'⚙️ Rate Card'!C34))*'⚙️ Rate Card'!C36)</f>
        <v>0</v>
      </c>
      <c r="S33" s="34" t="n">
        <f aca="false">IF(B33="",0,(((D33/100)*'⚙️ Rate Card'!C7+F33*'⚙️ Rate Card'!C9+G33*'⚙️ Rate Card'!C10+H33*'⚙️ Rate Card'!C11+I33*'⚙️ Rate Card'!C12+J33*'⚙️ Rate Card'!C13+K33*'⚙️ Rate Card'!C14+(D33/100)*'⚙️ Rate Card'!C8+L33*IF(OR(O33="N/A",O33="None",O33=""),0,IF(O33="High",'⚙️ Rate Card'!C20,IF(O33="Medium",'⚙️ Rate Card'!C19,'⚙️ Rate Card'!C18)))+M33*IF(OR(P33="Decommission",P33=""),'⚙️ Rate Card'!C29,IF(P33="EC2 (Lift &amp; Shift)",'⚙️ Rate Card'!C25,IF(P33="AWS QuickSight",'⚙️ Rate Card'!C27,IF(P33="Power BI",'⚙️ Rate Card'!C28,IF(P33="Custom Reporting Solution",'⚙️ Rate Card'!C26,0)))))+IF(B33="",0,'⚙️ Rate Card'!C33+(D33/100)*'⚙️ Rate Card'!C34))*'⚙️ Rate Card'!C37)*(1-'📊 Dashboard'!C10/100)+(((D33/100)*'⚙️ Rate Card'!C7+F33*'⚙️ Rate Card'!C9+G33*'⚙️ Rate Card'!C10+H33*'⚙️ Rate Card'!C11+I33*'⚙️ Rate Card'!C12+J33*'⚙️ Rate Card'!C13+K33*'⚙️ Rate Card'!C14+(D33/100)*'⚙️ Rate Card'!C8+(D33/100)*'⚙️ Rate Card'!C8))*(1-'📊 Dashboard'!C10/100)+(L33*IF(OR(O33="N/A",O33="None",O33=""),0,IF(O33="High",'⚙️ Rate Card'!C20,IF(O33="Medium",'⚙️ Rate Card'!C19,'⚙️ Rate Card'!C18))))*(1-'📊 Dashboard'!C11/100)+(M33*IF(OR(P33="Decommission",P33=""),'⚙️ Rate Card'!C29,IF(P33="EC2 (Lift &amp; Shift)",'⚙️ Rate Card'!C25,IF(P33="AWS QuickSight",'⚙️ Rate Card'!C27,IF(P33="Power BI",'⚙️ Rate Card'!C28,IF(P33="Custom Reporting Solution",'⚙️ Rate Card'!C26,0))))))*(1-'📊 Dashboard'!C12/100)+(IF(B33="",0,'⚙️ Rate Card'!C33+(D33/100)*'⚙️ Rate Card'!C34))*(1-'📊 Dashboard'!C10/100)+(((D33/100)*'⚙️ Rate Card'!C7+F33*'⚙️ Rate Card'!C9+G33*'⚙️ Rate Card'!C10+H33*'⚙️ Rate Card'!C11+I33*'⚙️ Rate Card'!C12+J33*'⚙️ Rate Card'!C13+K33*'⚙️ Rate Card'!C14+(D33/100)*'⚙️ Rate Card'!C8+L33*IF(OR(O33="N/A",O33="None",O33=""),0,IF(O33="High",'⚙️ Rate Card'!C20,IF(O33="Medium",'⚙️ Rate Card'!C19,'⚙️ Rate Card'!C18)))+M33*IF(OR(P33="Decommission",P33=""),'⚙️ Rate Card'!C29,IF(P33="EC2 (Lift &amp; Shift)",'⚙️ Rate Card'!C25,IF(P33="AWS QuickSight",'⚙️ Rate Card'!C27,IF(P33="Power BI",'⚙️ Rate Card'!C28,IF(P33="Custom Reporting Solution",'⚙️ Rate Card'!C26,0)))))+IF(B33="",0,'⚙️ Rate Card'!C33+(D33/100)*'⚙️ Rate Card'!C34))*'⚙️ Rate Card'!C35)*(1-'📊 Dashboard'!C13/100)+(((D33/100)*'⚙️ Rate Card'!C7+F33*'⚙️ Rate Card'!C9+G33*'⚙️ Rate Card'!C10+H33*'⚙️ Rate Card'!C11+I33*'⚙️ Rate Card'!C12+J33*'⚙️ Rate Card'!C13+K33*'⚙️ Rate Card'!C14+(D33/100)*'⚙️ Rate Card'!C8+L33*IF(OR(O33="N/A",O33="None",O33=""),0,IF(O33="High",'⚙️ Rate Card'!C20,IF(O33="Medium",'⚙️ Rate Card'!C19,'⚙️ Rate Card'!C18)))+M33*IF(OR(P33="Decommission",P33=""),'⚙️ Rate Card'!C29,IF(P33="EC2 (Lift &amp; Shift)",'⚙️ Rate Card'!C25,IF(P33="AWS QuickSight",'⚙️ Rate Card'!C27,IF(P33="Power BI",'⚙️ Rate Card'!C28,IF(P33="Custom Reporting Solution",'⚙️ Rate Card'!C26,0)))))+IF(B33="",0,'⚙️ Rate Card'!C33+(D33/100)*'⚙️ Rate Card'!C34))*'⚙️ Rate Card'!C36)*(1-'📊 Dashboard'!C10/100))</f>
        <v>0</v>
      </c>
      <c r="T33" s="35" t="n">
        <f aca="false">IF(B33="",0,S33*(1+'📊 Dashboard'!C14/100))</f>
        <v>0</v>
      </c>
      <c r="U33" s="41" t="n">
        <f aca="false">IF(B33="",0,((D33/100)*'⚙️ Rate Card'!C7+F33*'⚙️ Rate Card'!C9+G33*'⚙️ Rate Card'!C10+H33*'⚙️ Rate Card'!C11+I33*'⚙️ Rate Card'!C12+J33*'⚙️ Rate Card'!C13+K33*'⚙️ Rate Card'!C14+(D33/100)*'⚙️ Rate Card'!C8+L33*IF(OR(O33="N/A",O33="None",O33=""),0,IF(O33="High",'⚙️ Rate Card'!C20,IF(O33="Medium",'⚙️ Rate Card'!C19,'⚙️ Rate Card'!C18)))+M33*IF(OR(P33="Decommission",P33=""),'⚙️ Rate Card'!C29,IF(P33="EC2 (Lift &amp; Shift)",'⚙️ Rate Card'!C25,IF(P33="AWS QuickSight",'⚙️ Rate Card'!C27,IF(P33="Power BI",'⚙️ Rate Card'!C28,IF(P33="Custom Reporting Solution",'⚙️ Rate Card'!C26,0)))))+IF(B33="",0,'⚙️ Rate Card'!C33+(D33/100)*'⚙️ Rate Card'!C34))*'⚙️ Rate Card'!C37)</f>
        <v>0</v>
      </c>
      <c r="V33" s="41" t="n">
        <f aca="false">IF(B33="",0,(D33/100)*'⚙️ Rate Card'!C7+F33*'⚙️ Rate Card'!C9+G33*'⚙️ Rate Card'!C10+H33*'⚙️ Rate Card'!C11+I33*'⚙️ Rate Card'!C12+J33*'⚙️ Rate Card'!C13+K33*'⚙️ Rate Card'!C14+(D33/100)*'⚙️ Rate Card'!C8+(D33/100)*'⚙️ Rate Card'!C8)</f>
        <v>0</v>
      </c>
      <c r="W33" s="41" t="n">
        <f aca="false">IF(B33="",0,L33*IF(OR(O33="N/A",O33="None",O33=""),0,IF(O33="High",'⚙️ Rate Card'!C20,IF(O33="Medium",'⚙️ Rate Card'!C19,'⚙️ Rate Card'!C18))))</f>
        <v>0</v>
      </c>
      <c r="X33" s="41" t="n">
        <f aca="false">IF(B33="",0,M33*IF(OR(P33="Decommission",P33=""),'⚙️ Rate Card'!C29,IF(P33="EC2 (Lift &amp; Shift)",'⚙️ Rate Card'!C25,IF(P33="AWS QuickSight",'⚙️ Rate Card'!C27,IF(P33="Power BI",'⚙️ Rate Card'!C28,IF(P33="Custom Reporting Solution",'⚙️ Rate Card'!C26,0))))))</f>
        <v>0</v>
      </c>
      <c r="Y33" s="41" t="n">
        <f aca="false">IF(B33="",0,IF(B33="",0,'⚙️ Rate Card'!C33+(D33/100)*'⚙️ Rate Card'!C34))</f>
        <v>0</v>
      </c>
      <c r="Z33" s="41" t="n">
        <f aca="false">IF(B33="",0,((D33/100)*'⚙️ Rate Card'!C7+F33*'⚙️ Rate Card'!C9+G33*'⚙️ Rate Card'!C10+H33*'⚙️ Rate Card'!C11+I33*'⚙️ Rate Card'!C12+J33*'⚙️ Rate Card'!C13+K33*'⚙️ Rate Card'!C14+(D33/100)*'⚙️ Rate Card'!C8+L33*IF(OR(O33="N/A",O33="None",O33=""),0,IF(O33="High",'⚙️ Rate Card'!C20,IF(O33="Medium",'⚙️ Rate Card'!C19,'⚙️ Rate Card'!C18)))+M33*IF(OR(P33="Decommission",P33=""),'⚙️ Rate Card'!C29,IF(P33="EC2 (Lift &amp; Shift)",'⚙️ Rate Card'!C25,IF(P33="AWS QuickSight",'⚙️ Rate Card'!C27,IF(P33="Power BI",'⚙️ Rate Card'!C28,IF(P33="Custom Reporting Solution",'⚙️ Rate Card'!C26,0)))))+IF(B33="",0,'⚙️ Rate Card'!C33+(D33/100)*'⚙️ Rate Card'!C34))*'⚙️ Rate Card'!C35)</f>
        <v>0</v>
      </c>
      <c r="AA33" s="41" t="n">
        <f aca="false">IF(B33="",0,((D33/100)*'⚙️ Rate Card'!C7+F33*'⚙️ Rate Card'!C9+G33*'⚙️ Rate Card'!C10+H33*'⚙️ Rate Card'!C11+I33*'⚙️ Rate Card'!C12+J33*'⚙️ Rate Card'!C13+K33*'⚙️ Rate Card'!C14+(D33/100)*'⚙️ Rate Card'!C8+L33*IF(OR(O33="N/A",O33="None",O33=""),0,IF(O33="High",'⚙️ Rate Card'!C20,IF(O33="Medium",'⚙️ Rate Card'!C19,'⚙️ Rate Card'!C18)))+M33*IF(OR(P33="Decommission",P33=""),'⚙️ Rate Card'!C29,IF(P33="EC2 (Lift &amp; Shift)",'⚙️ Rate Card'!C25,IF(P33="AWS QuickSight",'⚙️ Rate Card'!C27,IF(P33="Power BI",'⚙️ Rate Card'!C28,IF(P33="Custom Reporting Solution",'⚙️ Rate Card'!C26,0)))))+IF(B33="",0,'⚙️ Rate Card'!C33+(D33/100)*'⚙️ Rate Card'!C34))*'⚙️ Rate Card'!C36)</f>
        <v>0</v>
      </c>
      <c r="AB33" s="37" t="n">
        <f aca="false">'✏️ SME Input'!T34</f>
        <v>0</v>
      </c>
      <c r="AC33" s="41" t="n">
        <f aca="false">IF(B33="",0,AB33*0.75)</f>
        <v>0</v>
      </c>
      <c r="AD33" s="41" t="n">
        <f aca="false">IF(B33="",0,AB33*0.75)</f>
        <v>0</v>
      </c>
      <c r="AE33" s="41" t="n">
        <f aca="false">IF(B33="",0,AB33*0.75)</f>
        <v>0</v>
      </c>
      <c r="AF33" s="41" t="n">
        <f aca="false">IF(B33="",0,AB33*2.25)</f>
        <v>0</v>
      </c>
      <c r="AG33" s="41" t="n">
        <f aca="false">IF(B33="",0,((D33/100)*'⚙️ Rate Card'!C7+F33*'⚙️ Rate Card'!C9+G33*'⚙️ Rate Card'!C10+H33*'⚙️ Rate Card'!C11+I33*'⚙️ Rate Card'!C12+J33*'⚙️ Rate Card'!C13+K33*'⚙️ Rate Card'!C14+(D33/100)*'⚙️ Rate Card'!C8)*0.4)</f>
        <v>0</v>
      </c>
      <c r="AH33" s="41" t="n">
        <f aca="false">IF(B33="",0,((D33/100)*'⚙️ Rate Card'!C7+F33*'⚙️ Rate Card'!C9+G33*'⚙️ Rate Card'!C10+H33*'⚙️ Rate Card'!C11+I33*'⚙️ Rate Card'!C12+J33*'⚙️ Rate Card'!C13+K33*'⚙️ Rate Card'!C14+(D33/100)*'⚙️ Rate Card'!C8)*0.4)</f>
        <v>0</v>
      </c>
      <c r="AI33" s="41" t="n">
        <f aca="false">IF(B33="",0,((D33/100)*'⚙️ Rate Card'!C7+F33*'⚙️ Rate Card'!C9+G33*'⚙️ Rate Card'!C10+H33*'⚙️ Rate Card'!C11+I33*'⚙️ Rate Card'!C12+J33*'⚙️ Rate Card'!C13+K33*'⚙️ Rate Card'!C14+(D33/100)*'⚙️ Rate Card'!C8)*0.2)</f>
        <v>0</v>
      </c>
      <c r="AJ33" s="41" t="n">
        <f aca="false">IF(B33="",0,(L33*IF(OR(O33="N/A",O33="None",O33=""),0,IF(O33="High",'⚙️ Rate Card'!C20,IF(O33="Medium",'⚙️ Rate Card'!C19,'⚙️ Rate Card'!C18))))*0.5)</f>
        <v>0</v>
      </c>
      <c r="AK33" s="41" t="n">
        <f aca="false">IF(B33="",0,(L33*IF(OR(O33="N/A",O33="None",O33=""),0,IF(O33="High",'⚙️ Rate Card'!C20,IF(O33="Medium",'⚙️ Rate Card'!C19,'⚙️ Rate Card'!C18))))*0.35)</f>
        <v>0</v>
      </c>
      <c r="AL33" s="41" t="n">
        <f aca="false">IF(B33="",0,(L33*IF(OR(O33="N/A",O33="None",O33=""),0,IF(O33="High",'⚙️ Rate Card'!C20,IF(O33="Medium",'⚙️ Rate Card'!C19,'⚙️ Rate Card'!C18))))*0.15)</f>
        <v>0</v>
      </c>
      <c r="AM33" s="35" t="n">
        <f aca="false">IF(B33="",0,AG33+AJ33+(M33*IF(OR(P33="Decommission",P33=""),'⚙️ Rate Card'!C29,IF(P33="EC2 (Lift &amp; Shift)",'⚙️ Rate Card'!C25,IF(P33="AWS QuickSight",'⚙️ Rate Card'!C27,IF(P33="Power BI",'⚙️ Rate Card'!C28,IF(P33="Custom Reporting Solution",'⚙️ Rate Card'!C26,0))))))*0.4+(IF(B33="",0,'⚙️ Rate Card'!C33+(D33/100)*'⚙️ Rate Card'!C34))*0.4+AC33+(((D33/100)*'⚙️ Rate Card'!C7+F33*'⚙️ Rate Card'!C9+G33*'⚙️ Rate Card'!C10+H33*'⚙️ Rate Card'!C11+I33*'⚙️ Rate Card'!C12+J33*'⚙️ Rate Card'!C13+K33*'⚙️ Rate Card'!C14+(D33/100)*'⚙️ Rate Card'!C8+L33*IF(OR(O33="N/A",O33="None",O33=""),0,IF(O33="High",'⚙️ Rate Card'!C20,IF(O33="Medium",'⚙️ Rate Card'!C19,'⚙️ Rate Card'!C18)))+M33*IF(OR(P33="Decommission",P33=""),'⚙️ Rate Card'!C29,IF(P33="EC2 (Lift &amp; Shift)",'⚙️ Rate Card'!C25,IF(P33="AWS QuickSight",'⚙️ Rate Card'!C27,IF(P33="Power BI",'⚙️ Rate Card'!C28,IF(P33="Custom Reporting Solution",'⚙️ Rate Card'!C26,0)))))+IF(B33="",0,'⚙️ Rate Card'!C33+(D33/100)*'⚙️ Rate Card'!C34)))*'⚙️ Rate Card'!C35*0.4+(((D33/100)*'⚙️ Rate Card'!C7+F33*'⚙️ Rate Card'!C9+G33*'⚙️ Rate Card'!C10+H33*'⚙️ Rate Card'!C11+I33*'⚙️ Rate Card'!C12+J33*'⚙️ Rate Card'!C13+K33*'⚙️ Rate Card'!C14+(D33/100)*'⚙️ Rate Card'!C8+L33*IF(OR(O33="N/A",O33="None",O33=""),0,IF(O33="High",'⚙️ Rate Card'!C20,IF(O33="Medium",'⚙️ Rate Card'!C19,'⚙️ Rate Card'!C18)))+M33*IF(OR(P33="Decommission",P33=""),'⚙️ Rate Card'!C29,IF(P33="EC2 (Lift &amp; Shift)",'⚙️ Rate Card'!C25,IF(P33="AWS QuickSight",'⚙️ Rate Card'!C27,IF(P33="Power BI",'⚙️ Rate Card'!C28,IF(P33="Custom Reporting Solution",'⚙️ Rate Card'!C26,0)))))+IF(B33="",0,'⚙️ Rate Card'!C33+(D33/100)*'⚙️ Rate Card'!C34)))*'⚙️ Rate Card'!C36*0.4+(((D33/100)*'⚙️ Rate Card'!C7+F33*'⚙️ Rate Card'!C9+G33*'⚙️ Rate Card'!C10+H33*'⚙️ Rate Card'!C11+I33*'⚙️ Rate Card'!C12+J33*'⚙️ Rate Card'!C13+K33*'⚙️ Rate Card'!C14+(D33/100)*'⚙️ Rate Card'!C8+L33*IF(OR(O33="N/A",O33="None",O33=""),0,IF(O33="High",'⚙️ Rate Card'!C20,IF(O33="Medium",'⚙️ Rate Card'!C19,'⚙️ Rate Card'!C18)))+M33*IF(OR(P33="Decommission",P33=""),'⚙️ Rate Card'!C29,IF(P33="EC2 (Lift &amp; Shift)",'⚙️ Rate Card'!C25,IF(P33="AWS QuickSight",'⚙️ Rate Card'!C27,IF(P33="Power BI",'⚙️ Rate Card'!C28,IF(P33="Custom Reporting Solution",'⚙️ Rate Card'!C26,0)))))+IF(B33="",0,'⚙️ Rate Card'!C33+(D33/100)*'⚙️ Rate Card'!C34)))*'⚙️ Rate Card'!C37*0.4)</f>
        <v>0</v>
      </c>
      <c r="AN33" s="38" t="n">
        <f aca="false">IF(B33="",0,AH33+AK33+(M33*IF(OR(P33="Decommission",P33=""),'⚙️ Rate Card'!C29,IF(P33="EC2 (Lift &amp; Shift)",'⚙️ Rate Card'!C25,IF(P33="AWS QuickSight",'⚙️ Rate Card'!C27,IF(P33="Power BI",'⚙️ Rate Card'!C28,IF(P33="Custom Reporting Solution",'⚙️ Rate Card'!C26,0))))))*0.4+(IF(B33="",0,'⚙️ Rate Card'!C33+(D33/100)*'⚙️ Rate Card'!C34))*0.4+AD33+(((D33/100)*'⚙️ Rate Card'!C7+F33*'⚙️ Rate Card'!C9+G33*'⚙️ Rate Card'!C10+H33*'⚙️ Rate Card'!C11+I33*'⚙️ Rate Card'!C12+J33*'⚙️ Rate Card'!C13+K33*'⚙️ Rate Card'!C14+(D33/100)*'⚙️ Rate Card'!C8+L33*IF(OR(O33="N/A",O33="None",O33=""),0,IF(O33="High",'⚙️ Rate Card'!C20,IF(O33="Medium",'⚙️ Rate Card'!C19,'⚙️ Rate Card'!C18)))+M33*IF(OR(P33="Decommission",P33=""),'⚙️ Rate Card'!C29,IF(P33="EC2 (Lift &amp; Shift)",'⚙️ Rate Card'!C25,IF(P33="AWS QuickSight",'⚙️ Rate Card'!C27,IF(P33="Power BI",'⚙️ Rate Card'!C28,IF(P33="Custom Reporting Solution",'⚙️ Rate Card'!C26,0)))))+IF(B33="",0,'⚙️ Rate Card'!C33+(D33/100)*'⚙️ Rate Card'!C34)))*'⚙️ Rate Card'!C35*0.4+(((D33/100)*'⚙️ Rate Card'!C7+F33*'⚙️ Rate Card'!C9+G33*'⚙️ Rate Card'!C10+H33*'⚙️ Rate Card'!C11+I33*'⚙️ Rate Card'!C12+J33*'⚙️ Rate Card'!C13+K33*'⚙️ Rate Card'!C14+(D33/100)*'⚙️ Rate Card'!C8+L33*IF(OR(O33="N/A",O33="None",O33=""),0,IF(O33="High",'⚙️ Rate Card'!C20,IF(O33="Medium",'⚙️ Rate Card'!C19,'⚙️ Rate Card'!C18)))+M33*IF(OR(P33="Decommission",P33=""),'⚙️ Rate Card'!C29,IF(P33="EC2 (Lift &amp; Shift)",'⚙️ Rate Card'!C25,IF(P33="AWS QuickSight",'⚙️ Rate Card'!C27,IF(P33="Power BI",'⚙️ Rate Card'!C28,IF(P33="Custom Reporting Solution",'⚙️ Rate Card'!C26,0)))))+IF(B33="",0,'⚙️ Rate Card'!C33+(D33/100)*'⚙️ Rate Card'!C34)))*'⚙️ Rate Card'!C36*0.4+(((D33/100)*'⚙️ Rate Card'!C7+F33*'⚙️ Rate Card'!C9+G33*'⚙️ Rate Card'!C10+H33*'⚙️ Rate Card'!C11+I33*'⚙️ Rate Card'!C12+J33*'⚙️ Rate Card'!C13+K33*'⚙️ Rate Card'!C14+(D33/100)*'⚙️ Rate Card'!C8+L33*IF(OR(O33="N/A",O33="None",O33=""),0,IF(O33="High",'⚙️ Rate Card'!C20,IF(O33="Medium",'⚙️ Rate Card'!C19,'⚙️ Rate Card'!C18)))+M33*IF(OR(P33="Decommission",P33=""),'⚙️ Rate Card'!C29,IF(P33="EC2 (Lift &amp; Shift)",'⚙️ Rate Card'!C25,IF(P33="AWS QuickSight",'⚙️ Rate Card'!C27,IF(P33="Power BI",'⚙️ Rate Card'!C28,IF(P33="Custom Reporting Solution",'⚙️ Rate Card'!C26,0)))))+IF(B33="",0,'⚙️ Rate Card'!C33+(D33/100)*'⚙️ Rate Card'!C34)))*'⚙️ Rate Card'!C37*0.4)</f>
        <v>0</v>
      </c>
      <c r="AO33" s="39" t="n">
        <f aca="false">IF(B33="",0,AI33+AL33+(M33*IF(OR(P33="Decommission",P33=""),'⚙️ Rate Card'!C29,IF(P33="EC2 (Lift &amp; Shift)",'⚙️ Rate Card'!C25,IF(P33="AWS QuickSight",'⚙️ Rate Card'!C27,IF(P33="Power BI",'⚙️ Rate Card'!C28,IF(P33="Custom Reporting Solution",'⚙️ Rate Card'!C26,0))))))*0.2+(IF(B33="",0,'⚙️ Rate Card'!C33+(D33/100)*'⚙️ Rate Card'!C34))*0.2+AE33+(((D33/100)*'⚙️ Rate Card'!C7+F33*'⚙️ Rate Card'!C9+G33*'⚙️ Rate Card'!C10+H33*'⚙️ Rate Card'!C11+I33*'⚙️ Rate Card'!C12+J33*'⚙️ Rate Card'!C13+K33*'⚙️ Rate Card'!C14+(D33/100)*'⚙️ Rate Card'!C8+L33*IF(OR(O33="N/A",O33="None",O33=""),0,IF(O33="High",'⚙️ Rate Card'!C20,IF(O33="Medium",'⚙️ Rate Card'!C19,'⚙️ Rate Card'!C18)))+M33*IF(OR(P33="Decommission",P33=""),'⚙️ Rate Card'!C29,IF(P33="EC2 (Lift &amp; Shift)",'⚙️ Rate Card'!C25,IF(P33="AWS QuickSight",'⚙️ Rate Card'!C27,IF(P33="Power BI",'⚙️ Rate Card'!C28,IF(P33="Custom Reporting Solution",'⚙️ Rate Card'!C26,0)))))+IF(B33="",0,'⚙️ Rate Card'!C33+(D33/100)*'⚙️ Rate Card'!C34)))*'⚙️ Rate Card'!C35*0.2+(((D33/100)*'⚙️ Rate Card'!C7+F33*'⚙️ Rate Card'!C9+G33*'⚙️ Rate Card'!C10+H33*'⚙️ Rate Card'!C11+I33*'⚙️ Rate Card'!C12+J33*'⚙️ Rate Card'!C13+K33*'⚙️ Rate Card'!C14+(D33/100)*'⚙️ Rate Card'!C8+L33*IF(OR(O33="N/A",O33="None",O33=""),0,IF(O33="High",'⚙️ Rate Card'!C20,IF(O33="Medium",'⚙️ Rate Card'!C19,'⚙️ Rate Card'!C18)))+M33*IF(OR(P33="Decommission",P33=""),'⚙️ Rate Card'!C29,IF(P33="EC2 (Lift &amp; Shift)",'⚙️ Rate Card'!C25,IF(P33="AWS QuickSight",'⚙️ Rate Card'!C27,IF(P33="Power BI",'⚙️ Rate Card'!C28,IF(P33="Custom Reporting Solution",'⚙️ Rate Card'!C26,0)))))+IF(B33="",0,'⚙️ Rate Card'!C33+(D33/100)*'⚙️ Rate Card'!C34)))*'⚙️ Rate Card'!C36*0.2+(((D33/100)*'⚙️ Rate Card'!C7+F33*'⚙️ Rate Card'!C9+G33*'⚙️ Rate Card'!C10+H33*'⚙️ Rate Card'!C11+I33*'⚙️ Rate Card'!C12+J33*'⚙️ Rate Card'!C13+K33*'⚙️ Rate Card'!C14+(D33/100)*'⚙️ Rate Card'!C8+L33*IF(OR(O33="N/A",O33="None",O33=""),0,IF(O33="High",'⚙️ Rate Card'!C20,IF(O33="Medium",'⚙️ Rate Card'!C19,'⚙️ Rate Card'!C18)))+M33*IF(OR(P33="Decommission",P33=""),'⚙️ Rate Card'!C29,IF(P33="EC2 (Lift &amp; Shift)",'⚙️ Rate Card'!C25,IF(P33="AWS QuickSight",'⚙️ Rate Card'!C27,IF(P33="Power BI",'⚙️ Rate Card'!C28,IF(P33="Custom Reporting Solution",'⚙️ Rate Card'!C26,0)))))+IF(B33="",0,'⚙️ Rate Card'!C33+(D33/100)*'⚙️ Rate Card'!C34)))*'⚙️ Rate Card'!C37*0.2)</f>
        <v>0</v>
      </c>
      <c r="AP33" s="42" t="n">
        <f aca="false">'✏️ SME Input'!B34</f>
        <v>0</v>
      </c>
      <c r="AQ33" s="42" t="n">
        <f aca="false">'✏️ SME Input'!C34</f>
        <v>0</v>
      </c>
      <c r="AR33" s="42" t="n">
        <f aca="false">'✏️ SME Input'!D34</f>
        <v>0</v>
      </c>
    </row>
    <row r="34" customFormat="false" ht="18" hidden="false" customHeight="true" outlineLevel="0" collapsed="false">
      <c r="B34" s="30" t="n">
        <f aca="false">'✏️ SME Input'!E35</f>
        <v>0</v>
      </c>
      <c r="C34" s="31" t="str">
        <f aca="false">IF(B34="","",IF(D34&gt;1000,"T3 Complex",IF(D34&gt;500,"T2 Moderate","T1 Simple")))</f>
        <v/>
      </c>
      <c r="D34" s="32" t="n">
        <f aca="false">'✏️ SME Input'!G35</f>
        <v>0</v>
      </c>
      <c r="E34" s="32" t="n">
        <f aca="false">'✏️ SME Input'!H35</f>
        <v>0</v>
      </c>
      <c r="F34" s="32" t="n">
        <f aca="false">'✏️ SME Input'!I35</f>
        <v>0</v>
      </c>
      <c r="G34" s="32" t="n">
        <f aca="false">'✏️ SME Input'!J35</f>
        <v>0</v>
      </c>
      <c r="H34" s="32" t="n">
        <f aca="false">'✏️ SME Input'!K35</f>
        <v>0</v>
      </c>
      <c r="I34" s="32" t="n">
        <f aca="false">'✏️ SME Input'!L35</f>
        <v>0</v>
      </c>
      <c r="J34" s="32" t="n">
        <f aca="false">'✏️ SME Input'!M35</f>
        <v>0</v>
      </c>
      <c r="K34" s="32" t="n">
        <f aca="false">'✏️ SME Input'!N35</f>
        <v>0</v>
      </c>
      <c r="L34" s="32" t="n">
        <f aca="false">'✏️ SME Input'!O35</f>
        <v>0</v>
      </c>
      <c r="M34" s="32" t="n">
        <f aca="false">'✏️ SME Input'!P35</f>
        <v>0</v>
      </c>
      <c r="N34" s="17" t="n">
        <f aca="false">'✏️ SME Input'!Q35</f>
        <v>0</v>
      </c>
      <c r="O34" s="33" t="n">
        <f aca="false">'✏️ SME Input'!R35</f>
        <v>0</v>
      </c>
      <c r="P34" s="33" t="n">
        <f aca="false">'✏️ SME Input'!S35</f>
        <v>0</v>
      </c>
      <c r="Q34" s="32" t="n">
        <f aca="false">'✏️ SME Input'!F35</f>
        <v>0</v>
      </c>
      <c r="R34" s="34" t="n">
        <f aca="false">IF(B34="",0,((D34/100)*'⚙️ Rate Card'!C7+F34*'⚙️ Rate Card'!C9+G34*'⚙️ Rate Card'!C10+H34*'⚙️ Rate Card'!C11+I34*'⚙️ Rate Card'!C12+J34*'⚙️ Rate Card'!C13+K34*'⚙️ Rate Card'!C14+(D34/100)*'⚙️ Rate Card'!C8+L34*IF(OR(O34="N/A",O34="None",O34=""),0,IF(O34="High",'⚙️ Rate Card'!C20,IF(O34="Medium",'⚙️ Rate Card'!C19,'⚙️ Rate Card'!C18)))+M34*IF(OR(P34="Decommission",P34=""),'⚙️ Rate Card'!C29,IF(P34="EC2 (Lift &amp; Shift)",'⚙️ Rate Card'!C25,IF(P34="AWS QuickSight",'⚙️ Rate Card'!C27,IF(P34="Power BI",'⚙️ Rate Card'!C28,IF(P34="Custom Reporting Solution",'⚙️ Rate Card'!C26,0)))))+IF(B34="",0,'⚙️ Rate Card'!C33+(D34/100)*'⚙️ Rate Card'!C34))*'⚙️ Rate Card'!C37+(D34/100)*'⚙️ Rate Card'!C7+F34*'⚙️ Rate Card'!C9+G34*'⚙️ Rate Card'!C10+H34*'⚙️ Rate Card'!C11+I34*'⚙️ Rate Card'!C12+J34*'⚙️ Rate Card'!C13+K34*'⚙️ Rate Card'!C14+(D34/100)*'⚙️ Rate Card'!C8+(D34/100)*'⚙️ Rate Card'!C8+L34*IF(OR(O34="N/A",O34="None",O34=""),0,IF(O34="High",'⚙️ Rate Card'!C20,IF(O34="Medium",'⚙️ Rate Card'!C19,'⚙️ Rate Card'!C18)))+M34*IF(OR(P34="Decommission",P34=""),'⚙️ Rate Card'!C29,IF(P34="EC2 (Lift &amp; Shift)",'⚙️ Rate Card'!C25,IF(P34="AWS QuickSight",'⚙️ Rate Card'!C27,IF(P34="Power BI",'⚙️ Rate Card'!C28,IF(P34="Custom Reporting Solution",'⚙️ Rate Card'!C26,0)))))+IF(B34="",0,'⚙️ Rate Card'!C33+(D34/100)*'⚙️ Rate Card'!C34)+((D34/100)*'⚙️ Rate Card'!C7+F34*'⚙️ Rate Card'!C9+G34*'⚙️ Rate Card'!C10+H34*'⚙️ Rate Card'!C11+I34*'⚙️ Rate Card'!C12+J34*'⚙️ Rate Card'!C13+K34*'⚙️ Rate Card'!C14+(D34/100)*'⚙️ Rate Card'!C8+L34*IF(OR(O34="N/A",O34="None",O34=""),0,IF(O34="High",'⚙️ Rate Card'!C20,IF(O34="Medium",'⚙️ Rate Card'!C19,'⚙️ Rate Card'!C18)))+M34*IF(OR(P34="Decommission",P34=""),'⚙️ Rate Card'!C29,IF(P34="EC2 (Lift &amp; Shift)",'⚙️ Rate Card'!C25,IF(P34="AWS QuickSight",'⚙️ Rate Card'!C27,IF(P34="Power BI",'⚙️ Rate Card'!C28,IF(P34="Custom Reporting Solution",'⚙️ Rate Card'!C26,0)))))+IF(B34="",0,'⚙️ Rate Card'!C33+(D34/100)*'⚙️ Rate Card'!C34))*'⚙️ Rate Card'!C35+((D34/100)*'⚙️ Rate Card'!C7+F34*'⚙️ Rate Card'!C9+G34*'⚙️ Rate Card'!C10+H34*'⚙️ Rate Card'!C11+I34*'⚙️ Rate Card'!C12+J34*'⚙️ Rate Card'!C13+K34*'⚙️ Rate Card'!C14+(D34/100)*'⚙️ Rate Card'!C8+L34*IF(OR(O34="N/A",O34="None",O34=""),0,IF(O34="High",'⚙️ Rate Card'!C20,IF(O34="Medium",'⚙️ Rate Card'!C19,'⚙️ Rate Card'!C18)))+M34*IF(OR(P34="Decommission",P34=""),'⚙️ Rate Card'!C29,IF(P34="EC2 (Lift &amp; Shift)",'⚙️ Rate Card'!C25,IF(P34="AWS QuickSight",'⚙️ Rate Card'!C27,IF(P34="Power BI",'⚙️ Rate Card'!C28,IF(P34="Custom Reporting Solution",'⚙️ Rate Card'!C26,0)))))+IF(B34="",0,'⚙️ Rate Card'!C33+(D34/100)*'⚙️ Rate Card'!C34))*'⚙️ Rate Card'!C36)</f>
        <v>0</v>
      </c>
      <c r="S34" s="34" t="n">
        <f aca="false">IF(B34="",0,(((D34/100)*'⚙️ Rate Card'!C7+F34*'⚙️ Rate Card'!C9+G34*'⚙️ Rate Card'!C10+H34*'⚙️ Rate Card'!C11+I34*'⚙️ Rate Card'!C12+J34*'⚙️ Rate Card'!C13+K34*'⚙️ Rate Card'!C14+(D34/100)*'⚙️ Rate Card'!C8+L34*IF(OR(O34="N/A",O34="None",O34=""),0,IF(O34="High",'⚙️ Rate Card'!C20,IF(O34="Medium",'⚙️ Rate Card'!C19,'⚙️ Rate Card'!C18)))+M34*IF(OR(P34="Decommission",P34=""),'⚙️ Rate Card'!C29,IF(P34="EC2 (Lift &amp; Shift)",'⚙️ Rate Card'!C25,IF(P34="AWS QuickSight",'⚙️ Rate Card'!C27,IF(P34="Power BI",'⚙️ Rate Card'!C28,IF(P34="Custom Reporting Solution",'⚙️ Rate Card'!C26,0)))))+IF(B34="",0,'⚙️ Rate Card'!C33+(D34/100)*'⚙️ Rate Card'!C34))*'⚙️ Rate Card'!C37)*(1-'📊 Dashboard'!C10/100)+(((D34/100)*'⚙️ Rate Card'!C7+F34*'⚙️ Rate Card'!C9+G34*'⚙️ Rate Card'!C10+H34*'⚙️ Rate Card'!C11+I34*'⚙️ Rate Card'!C12+J34*'⚙️ Rate Card'!C13+K34*'⚙️ Rate Card'!C14+(D34/100)*'⚙️ Rate Card'!C8+(D34/100)*'⚙️ Rate Card'!C8))*(1-'📊 Dashboard'!C10/100)+(L34*IF(OR(O34="N/A",O34="None",O34=""),0,IF(O34="High",'⚙️ Rate Card'!C20,IF(O34="Medium",'⚙️ Rate Card'!C19,'⚙️ Rate Card'!C18))))*(1-'📊 Dashboard'!C11/100)+(M34*IF(OR(P34="Decommission",P34=""),'⚙️ Rate Card'!C29,IF(P34="EC2 (Lift &amp; Shift)",'⚙️ Rate Card'!C25,IF(P34="AWS QuickSight",'⚙️ Rate Card'!C27,IF(P34="Power BI",'⚙️ Rate Card'!C28,IF(P34="Custom Reporting Solution",'⚙️ Rate Card'!C26,0))))))*(1-'📊 Dashboard'!C12/100)+(IF(B34="",0,'⚙️ Rate Card'!C33+(D34/100)*'⚙️ Rate Card'!C34))*(1-'📊 Dashboard'!C10/100)+(((D34/100)*'⚙️ Rate Card'!C7+F34*'⚙️ Rate Card'!C9+G34*'⚙️ Rate Card'!C10+H34*'⚙️ Rate Card'!C11+I34*'⚙️ Rate Card'!C12+J34*'⚙️ Rate Card'!C13+K34*'⚙️ Rate Card'!C14+(D34/100)*'⚙️ Rate Card'!C8+L34*IF(OR(O34="N/A",O34="None",O34=""),0,IF(O34="High",'⚙️ Rate Card'!C20,IF(O34="Medium",'⚙️ Rate Card'!C19,'⚙️ Rate Card'!C18)))+M34*IF(OR(P34="Decommission",P34=""),'⚙️ Rate Card'!C29,IF(P34="EC2 (Lift &amp; Shift)",'⚙️ Rate Card'!C25,IF(P34="AWS QuickSight",'⚙️ Rate Card'!C27,IF(P34="Power BI",'⚙️ Rate Card'!C28,IF(P34="Custom Reporting Solution",'⚙️ Rate Card'!C26,0)))))+IF(B34="",0,'⚙️ Rate Card'!C33+(D34/100)*'⚙️ Rate Card'!C34))*'⚙️ Rate Card'!C35)*(1-'📊 Dashboard'!C13/100)+(((D34/100)*'⚙️ Rate Card'!C7+F34*'⚙️ Rate Card'!C9+G34*'⚙️ Rate Card'!C10+H34*'⚙️ Rate Card'!C11+I34*'⚙️ Rate Card'!C12+J34*'⚙️ Rate Card'!C13+K34*'⚙️ Rate Card'!C14+(D34/100)*'⚙️ Rate Card'!C8+L34*IF(OR(O34="N/A",O34="None",O34=""),0,IF(O34="High",'⚙️ Rate Card'!C20,IF(O34="Medium",'⚙️ Rate Card'!C19,'⚙️ Rate Card'!C18)))+M34*IF(OR(P34="Decommission",P34=""),'⚙️ Rate Card'!C29,IF(P34="EC2 (Lift &amp; Shift)",'⚙️ Rate Card'!C25,IF(P34="AWS QuickSight",'⚙️ Rate Card'!C27,IF(P34="Power BI",'⚙️ Rate Card'!C28,IF(P34="Custom Reporting Solution",'⚙️ Rate Card'!C26,0)))))+IF(B34="",0,'⚙️ Rate Card'!C33+(D34/100)*'⚙️ Rate Card'!C34))*'⚙️ Rate Card'!C36)*(1-'📊 Dashboard'!C10/100))</f>
        <v>0</v>
      </c>
      <c r="T34" s="35" t="n">
        <f aca="false">IF(B34="",0,S34*(1+'📊 Dashboard'!C14/100))</f>
        <v>0</v>
      </c>
      <c r="U34" s="36" t="n">
        <f aca="false">IF(B34="",0,((D34/100)*'⚙️ Rate Card'!C7+F34*'⚙️ Rate Card'!C9+G34*'⚙️ Rate Card'!C10+H34*'⚙️ Rate Card'!C11+I34*'⚙️ Rate Card'!C12+J34*'⚙️ Rate Card'!C13+K34*'⚙️ Rate Card'!C14+(D34/100)*'⚙️ Rate Card'!C8+L34*IF(OR(O34="N/A",O34="None",O34=""),0,IF(O34="High",'⚙️ Rate Card'!C20,IF(O34="Medium",'⚙️ Rate Card'!C19,'⚙️ Rate Card'!C18)))+M34*IF(OR(P34="Decommission",P34=""),'⚙️ Rate Card'!C29,IF(P34="EC2 (Lift &amp; Shift)",'⚙️ Rate Card'!C25,IF(P34="AWS QuickSight",'⚙️ Rate Card'!C27,IF(P34="Power BI",'⚙️ Rate Card'!C28,IF(P34="Custom Reporting Solution",'⚙️ Rate Card'!C26,0)))))+IF(B34="",0,'⚙️ Rate Card'!C33+(D34/100)*'⚙️ Rate Card'!C34))*'⚙️ Rate Card'!C37)</f>
        <v>0</v>
      </c>
      <c r="V34" s="36" t="n">
        <f aca="false">IF(B34="",0,(D34/100)*'⚙️ Rate Card'!C7+F34*'⚙️ Rate Card'!C9+G34*'⚙️ Rate Card'!C10+H34*'⚙️ Rate Card'!C11+I34*'⚙️ Rate Card'!C12+J34*'⚙️ Rate Card'!C13+K34*'⚙️ Rate Card'!C14+(D34/100)*'⚙️ Rate Card'!C8+(D34/100)*'⚙️ Rate Card'!C8)</f>
        <v>0</v>
      </c>
      <c r="W34" s="36" t="n">
        <f aca="false">IF(B34="",0,L34*IF(OR(O34="N/A",O34="None",O34=""),0,IF(O34="High",'⚙️ Rate Card'!C20,IF(O34="Medium",'⚙️ Rate Card'!C19,'⚙️ Rate Card'!C18))))</f>
        <v>0</v>
      </c>
      <c r="X34" s="36" t="n">
        <f aca="false">IF(B34="",0,M34*IF(OR(P34="Decommission",P34=""),'⚙️ Rate Card'!C29,IF(P34="EC2 (Lift &amp; Shift)",'⚙️ Rate Card'!C25,IF(P34="AWS QuickSight",'⚙️ Rate Card'!C27,IF(P34="Power BI",'⚙️ Rate Card'!C28,IF(P34="Custom Reporting Solution",'⚙️ Rate Card'!C26,0))))))</f>
        <v>0</v>
      </c>
      <c r="Y34" s="36" t="n">
        <f aca="false">IF(B34="",0,IF(B34="",0,'⚙️ Rate Card'!C33+(D34/100)*'⚙️ Rate Card'!C34))</f>
        <v>0</v>
      </c>
      <c r="Z34" s="36" t="n">
        <f aca="false">IF(B34="",0,((D34/100)*'⚙️ Rate Card'!C7+F34*'⚙️ Rate Card'!C9+G34*'⚙️ Rate Card'!C10+H34*'⚙️ Rate Card'!C11+I34*'⚙️ Rate Card'!C12+J34*'⚙️ Rate Card'!C13+K34*'⚙️ Rate Card'!C14+(D34/100)*'⚙️ Rate Card'!C8+L34*IF(OR(O34="N/A",O34="None",O34=""),0,IF(O34="High",'⚙️ Rate Card'!C20,IF(O34="Medium",'⚙️ Rate Card'!C19,'⚙️ Rate Card'!C18)))+M34*IF(OR(P34="Decommission",P34=""),'⚙️ Rate Card'!C29,IF(P34="EC2 (Lift &amp; Shift)",'⚙️ Rate Card'!C25,IF(P34="AWS QuickSight",'⚙️ Rate Card'!C27,IF(P34="Power BI",'⚙️ Rate Card'!C28,IF(P34="Custom Reporting Solution",'⚙️ Rate Card'!C26,0)))))+IF(B34="",0,'⚙️ Rate Card'!C33+(D34/100)*'⚙️ Rate Card'!C34))*'⚙️ Rate Card'!C35)</f>
        <v>0</v>
      </c>
      <c r="AA34" s="36" t="n">
        <f aca="false">IF(B34="",0,((D34/100)*'⚙️ Rate Card'!C7+F34*'⚙️ Rate Card'!C9+G34*'⚙️ Rate Card'!C10+H34*'⚙️ Rate Card'!C11+I34*'⚙️ Rate Card'!C12+J34*'⚙️ Rate Card'!C13+K34*'⚙️ Rate Card'!C14+(D34/100)*'⚙️ Rate Card'!C8+L34*IF(OR(O34="N/A",O34="None",O34=""),0,IF(O34="High",'⚙️ Rate Card'!C20,IF(O34="Medium",'⚙️ Rate Card'!C19,'⚙️ Rate Card'!C18)))+M34*IF(OR(P34="Decommission",P34=""),'⚙️ Rate Card'!C29,IF(P34="EC2 (Lift &amp; Shift)",'⚙️ Rate Card'!C25,IF(P34="AWS QuickSight",'⚙️ Rate Card'!C27,IF(P34="Power BI",'⚙️ Rate Card'!C28,IF(P34="Custom Reporting Solution",'⚙️ Rate Card'!C26,0)))))+IF(B34="",0,'⚙️ Rate Card'!C33+(D34/100)*'⚙️ Rate Card'!C34))*'⚙️ Rate Card'!C36)</f>
        <v>0</v>
      </c>
      <c r="AB34" s="37" t="n">
        <f aca="false">'✏️ SME Input'!T35</f>
        <v>0</v>
      </c>
      <c r="AC34" s="36" t="n">
        <f aca="false">IF(B34="",0,AB34*0.75)</f>
        <v>0</v>
      </c>
      <c r="AD34" s="36" t="n">
        <f aca="false">IF(B34="",0,AB34*0.75)</f>
        <v>0</v>
      </c>
      <c r="AE34" s="36" t="n">
        <f aca="false">IF(B34="",0,AB34*0.75)</f>
        <v>0</v>
      </c>
      <c r="AF34" s="36" t="n">
        <f aca="false">IF(B34="",0,AB34*2.25)</f>
        <v>0</v>
      </c>
      <c r="AG34" s="36" t="n">
        <f aca="false">IF(B34="",0,((D34/100)*'⚙️ Rate Card'!C7+F34*'⚙️ Rate Card'!C9+G34*'⚙️ Rate Card'!C10+H34*'⚙️ Rate Card'!C11+I34*'⚙️ Rate Card'!C12+J34*'⚙️ Rate Card'!C13+K34*'⚙️ Rate Card'!C14+(D34/100)*'⚙️ Rate Card'!C8)*0.4)</f>
        <v>0</v>
      </c>
      <c r="AH34" s="36" t="n">
        <f aca="false">IF(B34="",0,((D34/100)*'⚙️ Rate Card'!C7+F34*'⚙️ Rate Card'!C9+G34*'⚙️ Rate Card'!C10+H34*'⚙️ Rate Card'!C11+I34*'⚙️ Rate Card'!C12+J34*'⚙️ Rate Card'!C13+K34*'⚙️ Rate Card'!C14+(D34/100)*'⚙️ Rate Card'!C8)*0.4)</f>
        <v>0</v>
      </c>
      <c r="AI34" s="36" t="n">
        <f aca="false">IF(B34="",0,((D34/100)*'⚙️ Rate Card'!C7+F34*'⚙️ Rate Card'!C9+G34*'⚙️ Rate Card'!C10+H34*'⚙️ Rate Card'!C11+I34*'⚙️ Rate Card'!C12+J34*'⚙️ Rate Card'!C13+K34*'⚙️ Rate Card'!C14+(D34/100)*'⚙️ Rate Card'!C8)*0.2)</f>
        <v>0</v>
      </c>
      <c r="AJ34" s="36" t="n">
        <f aca="false">IF(B34="",0,(L34*IF(OR(O34="N/A",O34="None",O34=""),0,IF(O34="High",'⚙️ Rate Card'!C20,IF(O34="Medium",'⚙️ Rate Card'!C19,'⚙️ Rate Card'!C18))))*0.5)</f>
        <v>0</v>
      </c>
      <c r="AK34" s="36" t="n">
        <f aca="false">IF(B34="",0,(L34*IF(OR(O34="N/A",O34="None",O34=""),0,IF(O34="High",'⚙️ Rate Card'!C20,IF(O34="Medium",'⚙️ Rate Card'!C19,'⚙️ Rate Card'!C18))))*0.35)</f>
        <v>0</v>
      </c>
      <c r="AL34" s="36" t="n">
        <f aca="false">IF(B34="",0,(L34*IF(OR(O34="N/A",O34="None",O34=""),0,IF(O34="High",'⚙️ Rate Card'!C20,IF(O34="Medium",'⚙️ Rate Card'!C19,'⚙️ Rate Card'!C18))))*0.15)</f>
        <v>0</v>
      </c>
      <c r="AM34" s="35" t="n">
        <f aca="false">IF(B34="",0,AG34+AJ34+(M34*IF(OR(P34="Decommission",P34=""),'⚙️ Rate Card'!C29,IF(P34="EC2 (Lift &amp; Shift)",'⚙️ Rate Card'!C25,IF(P34="AWS QuickSight",'⚙️ Rate Card'!C27,IF(P34="Power BI",'⚙️ Rate Card'!C28,IF(P34="Custom Reporting Solution",'⚙️ Rate Card'!C26,0))))))*0.4+(IF(B34="",0,'⚙️ Rate Card'!C33+(D34/100)*'⚙️ Rate Card'!C34))*0.4+AC34+(((D34/100)*'⚙️ Rate Card'!C7+F34*'⚙️ Rate Card'!C9+G34*'⚙️ Rate Card'!C10+H34*'⚙️ Rate Card'!C11+I34*'⚙️ Rate Card'!C12+J34*'⚙️ Rate Card'!C13+K34*'⚙️ Rate Card'!C14+(D34/100)*'⚙️ Rate Card'!C8+L34*IF(OR(O34="N/A",O34="None",O34=""),0,IF(O34="High",'⚙️ Rate Card'!C20,IF(O34="Medium",'⚙️ Rate Card'!C19,'⚙️ Rate Card'!C18)))+M34*IF(OR(P34="Decommission",P34=""),'⚙️ Rate Card'!C29,IF(P34="EC2 (Lift &amp; Shift)",'⚙️ Rate Card'!C25,IF(P34="AWS QuickSight",'⚙️ Rate Card'!C27,IF(P34="Power BI",'⚙️ Rate Card'!C28,IF(P34="Custom Reporting Solution",'⚙️ Rate Card'!C26,0)))))+IF(B34="",0,'⚙️ Rate Card'!C33+(D34/100)*'⚙️ Rate Card'!C34)))*'⚙️ Rate Card'!C35*0.4+(((D34/100)*'⚙️ Rate Card'!C7+F34*'⚙️ Rate Card'!C9+G34*'⚙️ Rate Card'!C10+H34*'⚙️ Rate Card'!C11+I34*'⚙️ Rate Card'!C12+J34*'⚙️ Rate Card'!C13+K34*'⚙️ Rate Card'!C14+(D34/100)*'⚙️ Rate Card'!C8+L34*IF(OR(O34="N/A",O34="None",O34=""),0,IF(O34="High",'⚙️ Rate Card'!C20,IF(O34="Medium",'⚙️ Rate Card'!C19,'⚙️ Rate Card'!C18)))+M34*IF(OR(P34="Decommission",P34=""),'⚙️ Rate Card'!C29,IF(P34="EC2 (Lift &amp; Shift)",'⚙️ Rate Card'!C25,IF(P34="AWS QuickSight",'⚙️ Rate Card'!C27,IF(P34="Power BI",'⚙️ Rate Card'!C28,IF(P34="Custom Reporting Solution",'⚙️ Rate Card'!C26,0)))))+IF(B34="",0,'⚙️ Rate Card'!C33+(D34/100)*'⚙️ Rate Card'!C34)))*'⚙️ Rate Card'!C36*0.4+(((D34/100)*'⚙️ Rate Card'!C7+F34*'⚙️ Rate Card'!C9+G34*'⚙️ Rate Card'!C10+H34*'⚙️ Rate Card'!C11+I34*'⚙️ Rate Card'!C12+J34*'⚙️ Rate Card'!C13+K34*'⚙️ Rate Card'!C14+(D34/100)*'⚙️ Rate Card'!C8+L34*IF(OR(O34="N/A",O34="None",O34=""),0,IF(O34="High",'⚙️ Rate Card'!C20,IF(O34="Medium",'⚙️ Rate Card'!C19,'⚙️ Rate Card'!C18)))+M34*IF(OR(P34="Decommission",P34=""),'⚙️ Rate Card'!C29,IF(P34="EC2 (Lift &amp; Shift)",'⚙️ Rate Card'!C25,IF(P34="AWS QuickSight",'⚙️ Rate Card'!C27,IF(P34="Power BI",'⚙️ Rate Card'!C28,IF(P34="Custom Reporting Solution",'⚙️ Rate Card'!C26,0)))))+IF(B34="",0,'⚙️ Rate Card'!C33+(D34/100)*'⚙️ Rate Card'!C34)))*'⚙️ Rate Card'!C37*0.4)</f>
        <v>0</v>
      </c>
      <c r="AN34" s="38" t="n">
        <f aca="false">IF(B34="",0,AH34+AK34+(M34*IF(OR(P34="Decommission",P34=""),'⚙️ Rate Card'!C29,IF(P34="EC2 (Lift &amp; Shift)",'⚙️ Rate Card'!C25,IF(P34="AWS QuickSight",'⚙️ Rate Card'!C27,IF(P34="Power BI",'⚙️ Rate Card'!C28,IF(P34="Custom Reporting Solution",'⚙️ Rate Card'!C26,0))))))*0.4+(IF(B34="",0,'⚙️ Rate Card'!C33+(D34/100)*'⚙️ Rate Card'!C34))*0.4+AD34+(((D34/100)*'⚙️ Rate Card'!C7+F34*'⚙️ Rate Card'!C9+G34*'⚙️ Rate Card'!C10+H34*'⚙️ Rate Card'!C11+I34*'⚙️ Rate Card'!C12+J34*'⚙️ Rate Card'!C13+K34*'⚙️ Rate Card'!C14+(D34/100)*'⚙️ Rate Card'!C8+L34*IF(OR(O34="N/A",O34="None",O34=""),0,IF(O34="High",'⚙️ Rate Card'!C20,IF(O34="Medium",'⚙️ Rate Card'!C19,'⚙️ Rate Card'!C18)))+M34*IF(OR(P34="Decommission",P34=""),'⚙️ Rate Card'!C29,IF(P34="EC2 (Lift &amp; Shift)",'⚙️ Rate Card'!C25,IF(P34="AWS QuickSight",'⚙️ Rate Card'!C27,IF(P34="Power BI",'⚙️ Rate Card'!C28,IF(P34="Custom Reporting Solution",'⚙️ Rate Card'!C26,0)))))+IF(B34="",0,'⚙️ Rate Card'!C33+(D34/100)*'⚙️ Rate Card'!C34)))*'⚙️ Rate Card'!C35*0.4+(((D34/100)*'⚙️ Rate Card'!C7+F34*'⚙️ Rate Card'!C9+G34*'⚙️ Rate Card'!C10+H34*'⚙️ Rate Card'!C11+I34*'⚙️ Rate Card'!C12+J34*'⚙️ Rate Card'!C13+K34*'⚙️ Rate Card'!C14+(D34/100)*'⚙️ Rate Card'!C8+L34*IF(OR(O34="N/A",O34="None",O34=""),0,IF(O34="High",'⚙️ Rate Card'!C20,IF(O34="Medium",'⚙️ Rate Card'!C19,'⚙️ Rate Card'!C18)))+M34*IF(OR(P34="Decommission",P34=""),'⚙️ Rate Card'!C29,IF(P34="EC2 (Lift &amp; Shift)",'⚙️ Rate Card'!C25,IF(P34="AWS QuickSight",'⚙️ Rate Card'!C27,IF(P34="Power BI",'⚙️ Rate Card'!C28,IF(P34="Custom Reporting Solution",'⚙️ Rate Card'!C26,0)))))+IF(B34="",0,'⚙️ Rate Card'!C33+(D34/100)*'⚙️ Rate Card'!C34)))*'⚙️ Rate Card'!C36*0.4+(((D34/100)*'⚙️ Rate Card'!C7+F34*'⚙️ Rate Card'!C9+G34*'⚙️ Rate Card'!C10+H34*'⚙️ Rate Card'!C11+I34*'⚙️ Rate Card'!C12+J34*'⚙️ Rate Card'!C13+K34*'⚙️ Rate Card'!C14+(D34/100)*'⚙️ Rate Card'!C8+L34*IF(OR(O34="N/A",O34="None",O34=""),0,IF(O34="High",'⚙️ Rate Card'!C20,IF(O34="Medium",'⚙️ Rate Card'!C19,'⚙️ Rate Card'!C18)))+M34*IF(OR(P34="Decommission",P34=""),'⚙️ Rate Card'!C29,IF(P34="EC2 (Lift &amp; Shift)",'⚙️ Rate Card'!C25,IF(P34="AWS QuickSight",'⚙️ Rate Card'!C27,IF(P34="Power BI",'⚙️ Rate Card'!C28,IF(P34="Custom Reporting Solution",'⚙️ Rate Card'!C26,0)))))+IF(B34="",0,'⚙️ Rate Card'!C33+(D34/100)*'⚙️ Rate Card'!C34)))*'⚙️ Rate Card'!C37*0.4)</f>
        <v>0</v>
      </c>
      <c r="AO34" s="39" t="n">
        <f aca="false">IF(B34="",0,AI34+AL34+(M34*IF(OR(P34="Decommission",P34=""),'⚙️ Rate Card'!C29,IF(P34="EC2 (Lift &amp; Shift)",'⚙️ Rate Card'!C25,IF(P34="AWS QuickSight",'⚙️ Rate Card'!C27,IF(P34="Power BI",'⚙️ Rate Card'!C28,IF(P34="Custom Reporting Solution",'⚙️ Rate Card'!C26,0))))))*0.2+(IF(B34="",0,'⚙️ Rate Card'!C33+(D34/100)*'⚙️ Rate Card'!C34))*0.2+AE34+(((D34/100)*'⚙️ Rate Card'!C7+F34*'⚙️ Rate Card'!C9+G34*'⚙️ Rate Card'!C10+H34*'⚙️ Rate Card'!C11+I34*'⚙️ Rate Card'!C12+J34*'⚙️ Rate Card'!C13+K34*'⚙️ Rate Card'!C14+(D34/100)*'⚙️ Rate Card'!C8+L34*IF(OR(O34="N/A",O34="None",O34=""),0,IF(O34="High",'⚙️ Rate Card'!C20,IF(O34="Medium",'⚙️ Rate Card'!C19,'⚙️ Rate Card'!C18)))+M34*IF(OR(P34="Decommission",P34=""),'⚙️ Rate Card'!C29,IF(P34="EC2 (Lift &amp; Shift)",'⚙️ Rate Card'!C25,IF(P34="AWS QuickSight",'⚙️ Rate Card'!C27,IF(P34="Power BI",'⚙️ Rate Card'!C28,IF(P34="Custom Reporting Solution",'⚙️ Rate Card'!C26,0)))))+IF(B34="",0,'⚙️ Rate Card'!C33+(D34/100)*'⚙️ Rate Card'!C34)))*'⚙️ Rate Card'!C35*0.2+(((D34/100)*'⚙️ Rate Card'!C7+F34*'⚙️ Rate Card'!C9+G34*'⚙️ Rate Card'!C10+H34*'⚙️ Rate Card'!C11+I34*'⚙️ Rate Card'!C12+J34*'⚙️ Rate Card'!C13+K34*'⚙️ Rate Card'!C14+(D34/100)*'⚙️ Rate Card'!C8+L34*IF(OR(O34="N/A",O34="None",O34=""),0,IF(O34="High",'⚙️ Rate Card'!C20,IF(O34="Medium",'⚙️ Rate Card'!C19,'⚙️ Rate Card'!C18)))+M34*IF(OR(P34="Decommission",P34=""),'⚙️ Rate Card'!C29,IF(P34="EC2 (Lift &amp; Shift)",'⚙️ Rate Card'!C25,IF(P34="AWS QuickSight",'⚙️ Rate Card'!C27,IF(P34="Power BI",'⚙️ Rate Card'!C28,IF(P34="Custom Reporting Solution",'⚙️ Rate Card'!C26,0)))))+IF(B34="",0,'⚙️ Rate Card'!C33+(D34/100)*'⚙️ Rate Card'!C34)))*'⚙️ Rate Card'!C36*0.2+(((D34/100)*'⚙️ Rate Card'!C7+F34*'⚙️ Rate Card'!C9+G34*'⚙️ Rate Card'!C10+H34*'⚙️ Rate Card'!C11+I34*'⚙️ Rate Card'!C12+J34*'⚙️ Rate Card'!C13+K34*'⚙️ Rate Card'!C14+(D34/100)*'⚙️ Rate Card'!C8+L34*IF(OR(O34="N/A",O34="None",O34=""),0,IF(O34="High",'⚙️ Rate Card'!C20,IF(O34="Medium",'⚙️ Rate Card'!C19,'⚙️ Rate Card'!C18)))+M34*IF(OR(P34="Decommission",P34=""),'⚙️ Rate Card'!C29,IF(P34="EC2 (Lift &amp; Shift)",'⚙️ Rate Card'!C25,IF(P34="AWS QuickSight",'⚙️ Rate Card'!C27,IF(P34="Power BI",'⚙️ Rate Card'!C28,IF(P34="Custom Reporting Solution",'⚙️ Rate Card'!C26,0)))))+IF(B34="",0,'⚙️ Rate Card'!C33+(D34/100)*'⚙️ Rate Card'!C34)))*'⚙️ Rate Card'!C37*0.2)</f>
        <v>0</v>
      </c>
      <c r="AP34" s="37" t="n">
        <f aca="false">'✏️ SME Input'!B35</f>
        <v>0</v>
      </c>
      <c r="AQ34" s="37" t="n">
        <f aca="false">'✏️ SME Input'!C35</f>
        <v>0</v>
      </c>
      <c r="AR34" s="37" t="n">
        <f aca="false">'✏️ SME Input'!D35</f>
        <v>0</v>
      </c>
    </row>
    <row r="35" customFormat="false" ht="18" hidden="false" customHeight="true" outlineLevel="0" collapsed="false">
      <c r="B35" s="40" t="n">
        <f aca="false">'✏️ SME Input'!E36</f>
        <v>0</v>
      </c>
      <c r="C35" s="31" t="str">
        <f aca="false">IF(B35="","",IF(D35&gt;1000,"T3 Complex",IF(D35&gt;500,"T2 Moderate","T1 Simple")))</f>
        <v/>
      </c>
      <c r="D35" s="32" t="n">
        <f aca="false">'✏️ SME Input'!G36</f>
        <v>0</v>
      </c>
      <c r="E35" s="32" t="n">
        <f aca="false">'✏️ SME Input'!H36</f>
        <v>0</v>
      </c>
      <c r="F35" s="32" t="n">
        <f aca="false">'✏️ SME Input'!I36</f>
        <v>0</v>
      </c>
      <c r="G35" s="32" t="n">
        <f aca="false">'✏️ SME Input'!J36</f>
        <v>0</v>
      </c>
      <c r="H35" s="32" t="n">
        <f aca="false">'✏️ SME Input'!K36</f>
        <v>0</v>
      </c>
      <c r="I35" s="32" t="n">
        <f aca="false">'✏️ SME Input'!L36</f>
        <v>0</v>
      </c>
      <c r="J35" s="32" t="n">
        <f aca="false">'✏️ SME Input'!M36</f>
        <v>0</v>
      </c>
      <c r="K35" s="32" t="n">
        <f aca="false">'✏️ SME Input'!N36</f>
        <v>0</v>
      </c>
      <c r="L35" s="32" t="n">
        <f aca="false">'✏️ SME Input'!O36</f>
        <v>0</v>
      </c>
      <c r="M35" s="32" t="n">
        <f aca="false">'✏️ SME Input'!P36</f>
        <v>0</v>
      </c>
      <c r="N35" s="17" t="n">
        <f aca="false">'✏️ SME Input'!Q36</f>
        <v>0</v>
      </c>
      <c r="O35" s="33" t="n">
        <f aca="false">'✏️ SME Input'!R36</f>
        <v>0</v>
      </c>
      <c r="P35" s="33" t="n">
        <f aca="false">'✏️ SME Input'!S36</f>
        <v>0</v>
      </c>
      <c r="Q35" s="32" t="n">
        <f aca="false">'✏️ SME Input'!F36</f>
        <v>0</v>
      </c>
      <c r="R35" s="34" t="n">
        <f aca="false">IF(B35="",0,((D35/100)*'⚙️ Rate Card'!C7+F35*'⚙️ Rate Card'!C9+G35*'⚙️ Rate Card'!C10+H35*'⚙️ Rate Card'!C11+I35*'⚙️ Rate Card'!C12+J35*'⚙️ Rate Card'!C13+K35*'⚙️ Rate Card'!C14+(D35/100)*'⚙️ Rate Card'!C8+L35*IF(OR(O35="N/A",O35="None",O35=""),0,IF(O35="High",'⚙️ Rate Card'!C20,IF(O35="Medium",'⚙️ Rate Card'!C19,'⚙️ Rate Card'!C18)))+M35*IF(OR(P35="Decommission",P35=""),'⚙️ Rate Card'!C29,IF(P35="EC2 (Lift &amp; Shift)",'⚙️ Rate Card'!C25,IF(P35="AWS QuickSight",'⚙️ Rate Card'!C27,IF(P35="Power BI",'⚙️ Rate Card'!C28,IF(P35="Custom Reporting Solution",'⚙️ Rate Card'!C26,0)))))+IF(B35="",0,'⚙️ Rate Card'!C33+(D35/100)*'⚙️ Rate Card'!C34))*'⚙️ Rate Card'!C37+(D35/100)*'⚙️ Rate Card'!C7+F35*'⚙️ Rate Card'!C9+G35*'⚙️ Rate Card'!C10+H35*'⚙️ Rate Card'!C11+I35*'⚙️ Rate Card'!C12+J35*'⚙️ Rate Card'!C13+K35*'⚙️ Rate Card'!C14+(D35/100)*'⚙️ Rate Card'!C8+(D35/100)*'⚙️ Rate Card'!C8+L35*IF(OR(O35="N/A",O35="None",O35=""),0,IF(O35="High",'⚙️ Rate Card'!C20,IF(O35="Medium",'⚙️ Rate Card'!C19,'⚙️ Rate Card'!C18)))+M35*IF(OR(P35="Decommission",P35=""),'⚙️ Rate Card'!C29,IF(P35="EC2 (Lift &amp; Shift)",'⚙️ Rate Card'!C25,IF(P35="AWS QuickSight",'⚙️ Rate Card'!C27,IF(P35="Power BI",'⚙️ Rate Card'!C28,IF(P35="Custom Reporting Solution",'⚙️ Rate Card'!C26,0)))))+IF(B35="",0,'⚙️ Rate Card'!C33+(D35/100)*'⚙️ Rate Card'!C34)+((D35/100)*'⚙️ Rate Card'!C7+F35*'⚙️ Rate Card'!C9+G35*'⚙️ Rate Card'!C10+H35*'⚙️ Rate Card'!C11+I35*'⚙️ Rate Card'!C12+J35*'⚙️ Rate Card'!C13+K35*'⚙️ Rate Card'!C14+(D35/100)*'⚙️ Rate Card'!C8+L35*IF(OR(O35="N/A",O35="None",O35=""),0,IF(O35="High",'⚙️ Rate Card'!C20,IF(O35="Medium",'⚙️ Rate Card'!C19,'⚙️ Rate Card'!C18)))+M35*IF(OR(P35="Decommission",P35=""),'⚙️ Rate Card'!C29,IF(P35="EC2 (Lift &amp; Shift)",'⚙️ Rate Card'!C25,IF(P35="AWS QuickSight",'⚙️ Rate Card'!C27,IF(P35="Power BI",'⚙️ Rate Card'!C28,IF(P35="Custom Reporting Solution",'⚙️ Rate Card'!C26,0)))))+IF(B35="",0,'⚙️ Rate Card'!C33+(D35/100)*'⚙️ Rate Card'!C34))*'⚙️ Rate Card'!C35+((D35/100)*'⚙️ Rate Card'!C7+F35*'⚙️ Rate Card'!C9+G35*'⚙️ Rate Card'!C10+H35*'⚙️ Rate Card'!C11+I35*'⚙️ Rate Card'!C12+J35*'⚙️ Rate Card'!C13+K35*'⚙️ Rate Card'!C14+(D35/100)*'⚙️ Rate Card'!C8+L35*IF(OR(O35="N/A",O35="None",O35=""),0,IF(O35="High",'⚙️ Rate Card'!C20,IF(O35="Medium",'⚙️ Rate Card'!C19,'⚙️ Rate Card'!C18)))+M35*IF(OR(P35="Decommission",P35=""),'⚙️ Rate Card'!C29,IF(P35="EC2 (Lift &amp; Shift)",'⚙️ Rate Card'!C25,IF(P35="AWS QuickSight",'⚙️ Rate Card'!C27,IF(P35="Power BI",'⚙️ Rate Card'!C28,IF(P35="Custom Reporting Solution",'⚙️ Rate Card'!C26,0)))))+IF(B35="",0,'⚙️ Rate Card'!C33+(D35/100)*'⚙️ Rate Card'!C34))*'⚙️ Rate Card'!C36)</f>
        <v>0</v>
      </c>
      <c r="S35" s="34" t="n">
        <f aca="false">IF(B35="",0,(((D35/100)*'⚙️ Rate Card'!C7+F35*'⚙️ Rate Card'!C9+G35*'⚙️ Rate Card'!C10+H35*'⚙️ Rate Card'!C11+I35*'⚙️ Rate Card'!C12+J35*'⚙️ Rate Card'!C13+K35*'⚙️ Rate Card'!C14+(D35/100)*'⚙️ Rate Card'!C8+L35*IF(OR(O35="N/A",O35="None",O35=""),0,IF(O35="High",'⚙️ Rate Card'!C20,IF(O35="Medium",'⚙️ Rate Card'!C19,'⚙️ Rate Card'!C18)))+M35*IF(OR(P35="Decommission",P35=""),'⚙️ Rate Card'!C29,IF(P35="EC2 (Lift &amp; Shift)",'⚙️ Rate Card'!C25,IF(P35="AWS QuickSight",'⚙️ Rate Card'!C27,IF(P35="Power BI",'⚙️ Rate Card'!C28,IF(P35="Custom Reporting Solution",'⚙️ Rate Card'!C26,0)))))+IF(B35="",0,'⚙️ Rate Card'!C33+(D35/100)*'⚙️ Rate Card'!C34))*'⚙️ Rate Card'!C37)*(1-'📊 Dashboard'!C10/100)+(((D35/100)*'⚙️ Rate Card'!C7+F35*'⚙️ Rate Card'!C9+G35*'⚙️ Rate Card'!C10+H35*'⚙️ Rate Card'!C11+I35*'⚙️ Rate Card'!C12+J35*'⚙️ Rate Card'!C13+K35*'⚙️ Rate Card'!C14+(D35/100)*'⚙️ Rate Card'!C8+(D35/100)*'⚙️ Rate Card'!C8))*(1-'📊 Dashboard'!C10/100)+(L35*IF(OR(O35="N/A",O35="None",O35=""),0,IF(O35="High",'⚙️ Rate Card'!C20,IF(O35="Medium",'⚙️ Rate Card'!C19,'⚙️ Rate Card'!C18))))*(1-'📊 Dashboard'!C11/100)+(M35*IF(OR(P35="Decommission",P35=""),'⚙️ Rate Card'!C29,IF(P35="EC2 (Lift &amp; Shift)",'⚙️ Rate Card'!C25,IF(P35="AWS QuickSight",'⚙️ Rate Card'!C27,IF(P35="Power BI",'⚙️ Rate Card'!C28,IF(P35="Custom Reporting Solution",'⚙️ Rate Card'!C26,0))))))*(1-'📊 Dashboard'!C12/100)+(IF(B35="",0,'⚙️ Rate Card'!C33+(D35/100)*'⚙️ Rate Card'!C34))*(1-'📊 Dashboard'!C10/100)+(((D35/100)*'⚙️ Rate Card'!C7+F35*'⚙️ Rate Card'!C9+G35*'⚙️ Rate Card'!C10+H35*'⚙️ Rate Card'!C11+I35*'⚙️ Rate Card'!C12+J35*'⚙️ Rate Card'!C13+K35*'⚙️ Rate Card'!C14+(D35/100)*'⚙️ Rate Card'!C8+L35*IF(OR(O35="N/A",O35="None",O35=""),0,IF(O35="High",'⚙️ Rate Card'!C20,IF(O35="Medium",'⚙️ Rate Card'!C19,'⚙️ Rate Card'!C18)))+M35*IF(OR(P35="Decommission",P35=""),'⚙️ Rate Card'!C29,IF(P35="EC2 (Lift &amp; Shift)",'⚙️ Rate Card'!C25,IF(P35="AWS QuickSight",'⚙️ Rate Card'!C27,IF(P35="Power BI",'⚙️ Rate Card'!C28,IF(P35="Custom Reporting Solution",'⚙️ Rate Card'!C26,0)))))+IF(B35="",0,'⚙️ Rate Card'!C33+(D35/100)*'⚙️ Rate Card'!C34))*'⚙️ Rate Card'!C35)*(1-'📊 Dashboard'!C13/100)+(((D35/100)*'⚙️ Rate Card'!C7+F35*'⚙️ Rate Card'!C9+G35*'⚙️ Rate Card'!C10+H35*'⚙️ Rate Card'!C11+I35*'⚙️ Rate Card'!C12+J35*'⚙️ Rate Card'!C13+K35*'⚙️ Rate Card'!C14+(D35/100)*'⚙️ Rate Card'!C8+L35*IF(OR(O35="N/A",O35="None",O35=""),0,IF(O35="High",'⚙️ Rate Card'!C20,IF(O35="Medium",'⚙️ Rate Card'!C19,'⚙️ Rate Card'!C18)))+M35*IF(OR(P35="Decommission",P35=""),'⚙️ Rate Card'!C29,IF(P35="EC2 (Lift &amp; Shift)",'⚙️ Rate Card'!C25,IF(P35="AWS QuickSight",'⚙️ Rate Card'!C27,IF(P35="Power BI",'⚙️ Rate Card'!C28,IF(P35="Custom Reporting Solution",'⚙️ Rate Card'!C26,0)))))+IF(B35="",0,'⚙️ Rate Card'!C33+(D35/100)*'⚙️ Rate Card'!C34))*'⚙️ Rate Card'!C36)*(1-'📊 Dashboard'!C10/100))</f>
        <v>0</v>
      </c>
      <c r="T35" s="35" t="n">
        <f aca="false">IF(B35="",0,S35*(1+'📊 Dashboard'!C14/100))</f>
        <v>0</v>
      </c>
      <c r="U35" s="41" t="n">
        <f aca="false">IF(B35="",0,((D35/100)*'⚙️ Rate Card'!C7+F35*'⚙️ Rate Card'!C9+G35*'⚙️ Rate Card'!C10+H35*'⚙️ Rate Card'!C11+I35*'⚙️ Rate Card'!C12+J35*'⚙️ Rate Card'!C13+K35*'⚙️ Rate Card'!C14+(D35/100)*'⚙️ Rate Card'!C8+L35*IF(OR(O35="N/A",O35="None",O35=""),0,IF(O35="High",'⚙️ Rate Card'!C20,IF(O35="Medium",'⚙️ Rate Card'!C19,'⚙️ Rate Card'!C18)))+M35*IF(OR(P35="Decommission",P35=""),'⚙️ Rate Card'!C29,IF(P35="EC2 (Lift &amp; Shift)",'⚙️ Rate Card'!C25,IF(P35="AWS QuickSight",'⚙️ Rate Card'!C27,IF(P35="Power BI",'⚙️ Rate Card'!C28,IF(P35="Custom Reporting Solution",'⚙️ Rate Card'!C26,0)))))+IF(B35="",0,'⚙️ Rate Card'!C33+(D35/100)*'⚙️ Rate Card'!C34))*'⚙️ Rate Card'!C37)</f>
        <v>0</v>
      </c>
      <c r="V35" s="41" t="n">
        <f aca="false">IF(B35="",0,(D35/100)*'⚙️ Rate Card'!C7+F35*'⚙️ Rate Card'!C9+G35*'⚙️ Rate Card'!C10+H35*'⚙️ Rate Card'!C11+I35*'⚙️ Rate Card'!C12+J35*'⚙️ Rate Card'!C13+K35*'⚙️ Rate Card'!C14+(D35/100)*'⚙️ Rate Card'!C8+(D35/100)*'⚙️ Rate Card'!C8)</f>
        <v>0</v>
      </c>
      <c r="W35" s="41" t="n">
        <f aca="false">IF(B35="",0,L35*IF(OR(O35="N/A",O35="None",O35=""),0,IF(O35="High",'⚙️ Rate Card'!C20,IF(O35="Medium",'⚙️ Rate Card'!C19,'⚙️ Rate Card'!C18))))</f>
        <v>0</v>
      </c>
      <c r="X35" s="41" t="n">
        <f aca="false">IF(B35="",0,M35*IF(OR(P35="Decommission",P35=""),'⚙️ Rate Card'!C29,IF(P35="EC2 (Lift &amp; Shift)",'⚙️ Rate Card'!C25,IF(P35="AWS QuickSight",'⚙️ Rate Card'!C27,IF(P35="Power BI",'⚙️ Rate Card'!C28,IF(P35="Custom Reporting Solution",'⚙️ Rate Card'!C26,0))))))</f>
        <v>0</v>
      </c>
      <c r="Y35" s="41" t="n">
        <f aca="false">IF(B35="",0,IF(B35="",0,'⚙️ Rate Card'!C33+(D35/100)*'⚙️ Rate Card'!C34))</f>
        <v>0</v>
      </c>
      <c r="Z35" s="41" t="n">
        <f aca="false">IF(B35="",0,((D35/100)*'⚙️ Rate Card'!C7+F35*'⚙️ Rate Card'!C9+G35*'⚙️ Rate Card'!C10+H35*'⚙️ Rate Card'!C11+I35*'⚙️ Rate Card'!C12+J35*'⚙️ Rate Card'!C13+K35*'⚙️ Rate Card'!C14+(D35/100)*'⚙️ Rate Card'!C8+L35*IF(OR(O35="N/A",O35="None",O35=""),0,IF(O35="High",'⚙️ Rate Card'!C20,IF(O35="Medium",'⚙️ Rate Card'!C19,'⚙️ Rate Card'!C18)))+M35*IF(OR(P35="Decommission",P35=""),'⚙️ Rate Card'!C29,IF(P35="EC2 (Lift &amp; Shift)",'⚙️ Rate Card'!C25,IF(P35="AWS QuickSight",'⚙️ Rate Card'!C27,IF(P35="Power BI",'⚙️ Rate Card'!C28,IF(P35="Custom Reporting Solution",'⚙️ Rate Card'!C26,0)))))+IF(B35="",0,'⚙️ Rate Card'!C33+(D35/100)*'⚙️ Rate Card'!C34))*'⚙️ Rate Card'!C35)</f>
        <v>0</v>
      </c>
      <c r="AA35" s="41" t="n">
        <f aca="false">IF(B35="",0,((D35/100)*'⚙️ Rate Card'!C7+F35*'⚙️ Rate Card'!C9+G35*'⚙️ Rate Card'!C10+H35*'⚙️ Rate Card'!C11+I35*'⚙️ Rate Card'!C12+J35*'⚙️ Rate Card'!C13+K35*'⚙️ Rate Card'!C14+(D35/100)*'⚙️ Rate Card'!C8+L35*IF(OR(O35="N/A",O35="None",O35=""),0,IF(O35="High",'⚙️ Rate Card'!C20,IF(O35="Medium",'⚙️ Rate Card'!C19,'⚙️ Rate Card'!C18)))+M35*IF(OR(P35="Decommission",P35=""),'⚙️ Rate Card'!C29,IF(P35="EC2 (Lift &amp; Shift)",'⚙️ Rate Card'!C25,IF(P35="AWS QuickSight",'⚙️ Rate Card'!C27,IF(P35="Power BI",'⚙️ Rate Card'!C28,IF(P35="Custom Reporting Solution",'⚙️ Rate Card'!C26,0)))))+IF(B35="",0,'⚙️ Rate Card'!C33+(D35/100)*'⚙️ Rate Card'!C34))*'⚙️ Rate Card'!C36)</f>
        <v>0</v>
      </c>
      <c r="AB35" s="37" t="n">
        <f aca="false">'✏️ SME Input'!T36</f>
        <v>0</v>
      </c>
      <c r="AC35" s="41" t="n">
        <f aca="false">IF(B35="",0,AB35*0.75)</f>
        <v>0</v>
      </c>
      <c r="AD35" s="41" t="n">
        <f aca="false">IF(B35="",0,AB35*0.75)</f>
        <v>0</v>
      </c>
      <c r="AE35" s="41" t="n">
        <f aca="false">IF(B35="",0,AB35*0.75)</f>
        <v>0</v>
      </c>
      <c r="AF35" s="41" t="n">
        <f aca="false">IF(B35="",0,AB35*2.25)</f>
        <v>0</v>
      </c>
      <c r="AG35" s="41" t="n">
        <f aca="false">IF(B35="",0,((D35/100)*'⚙️ Rate Card'!C7+F35*'⚙️ Rate Card'!C9+G35*'⚙️ Rate Card'!C10+H35*'⚙️ Rate Card'!C11+I35*'⚙️ Rate Card'!C12+J35*'⚙️ Rate Card'!C13+K35*'⚙️ Rate Card'!C14+(D35/100)*'⚙️ Rate Card'!C8)*0.4)</f>
        <v>0</v>
      </c>
      <c r="AH35" s="41" t="n">
        <f aca="false">IF(B35="",0,((D35/100)*'⚙️ Rate Card'!C7+F35*'⚙️ Rate Card'!C9+G35*'⚙️ Rate Card'!C10+H35*'⚙️ Rate Card'!C11+I35*'⚙️ Rate Card'!C12+J35*'⚙️ Rate Card'!C13+K35*'⚙️ Rate Card'!C14+(D35/100)*'⚙️ Rate Card'!C8)*0.4)</f>
        <v>0</v>
      </c>
      <c r="AI35" s="41" t="n">
        <f aca="false">IF(B35="",0,((D35/100)*'⚙️ Rate Card'!C7+F35*'⚙️ Rate Card'!C9+G35*'⚙️ Rate Card'!C10+H35*'⚙️ Rate Card'!C11+I35*'⚙️ Rate Card'!C12+J35*'⚙️ Rate Card'!C13+K35*'⚙️ Rate Card'!C14+(D35/100)*'⚙️ Rate Card'!C8)*0.2)</f>
        <v>0</v>
      </c>
      <c r="AJ35" s="41" t="n">
        <f aca="false">IF(B35="",0,(L35*IF(OR(O35="N/A",O35="None",O35=""),0,IF(O35="High",'⚙️ Rate Card'!C20,IF(O35="Medium",'⚙️ Rate Card'!C19,'⚙️ Rate Card'!C18))))*0.5)</f>
        <v>0</v>
      </c>
      <c r="AK35" s="41" t="n">
        <f aca="false">IF(B35="",0,(L35*IF(OR(O35="N/A",O35="None",O35=""),0,IF(O35="High",'⚙️ Rate Card'!C20,IF(O35="Medium",'⚙️ Rate Card'!C19,'⚙️ Rate Card'!C18))))*0.35)</f>
        <v>0</v>
      </c>
      <c r="AL35" s="41" t="n">
        <f aca="false">IF(B35="",0,(L35*IF(OR(O35="N/A",O35="None",O35=""),0,IF(O35="High",'⚙️ Rate Card'!C20,IF(O35="Medium",'⚙️ Rate Card'!C19,'⚙️ Rate Card'!C18))))*0.15)</f>
        <v>0</v>
      </c>
      <c r="AM35" s="35" t="n">
        <f aca="false">IF(B35="",0,AG35+AJ35+(M35*IF(OR(P35="Decommission",P35=""),'⚙️ Rate Card'!C29,IF(P35="EC2 (Lift &amp; Shift)",'⚙️ Rate Card'!C25,IF(P35="AWS QuickSight",'⚙️ Rate Card'!C27,IF(P35="Power BI",'⚙️ Rate Card'!C28,IF(P35="Custom Reporting Solution",'⚙️ Rate Card'!C26,0))))))*0.4+(IF(B35="",0,'⚙️ Rate Card'!C33+(D35/100)*'⚙️ Rate Card'!C34))*0.4+AC35+(((D35/100)*'⚙️ Rate Card'!C7+F35*'⚙️ Rate Card'!C9+G35*'⚙️ Rate Card'!C10+H35*'⚙️ Rate Card'!C11+I35*'⚙️ Rate Card'!C12+J35*'⚙️ Rate Card'!C13+K35*'⚙️ Rate Card'!C14+(D35/100)*'⚙️ Rate Card'!C8+L35*IF(OR(O35="N/A",O35="None",O35=""),0,IF(O35="High",'⚙️ Rate Card'!C20,IF(O35="Medium",'⚙️ Rate Card'!C19,'⚙️ Rate Card'!C18)))+M35*IF(OR(P35="Decommission",P35=""),'⚙️ Rate Card'!C29,IF(P35="EC2 (Lift &amp; Shift)",'⚙️ Rate Card'!C25,IF(P35="AWS QuickSight",'⚙️ Rate Card'!C27,IF(P35="Power BI",'⚙️ Rate Card'!C28,IF(P35="Custom Reporting Solution",'⚙️ Rate Card'!C26,0)))))+IF(B35="",0,'⚙️ Rate Card'!C33+(D35/100)*'⚙️ Rate Card'!C34)))*'⚙️ Rate Card'!C35*0.4+(((D35/100)*'⚙️ Rate Card'!C7+F35*'⚙️ Rate Card'!C9+G35*'⚙️ Rate Card'!C10+H35*'⚙️ Rate Card'!C11+I35*'⚙️ Rate Card'!C12+J35*'⚙️ Rate Card'!C13+K35*'⚙️ Rate Card'!C14+(D35/100)*'⚙️ Rate Card'!C8+L35*IF(OR(O35="N/A",O35="None",O35=""),0,IF(O35="High",'⚙️ Rate Card'!C20,IF(O35="Medium",'⚙️ Rate Card'!C19,'⚙️ Rate Card'!C18)))+M35*IF(OR(P35="Decommission",P35=""),'⚙️ Rate Card'!C29,IF(P35="EC2 (Lift &amp; Shift)",'⚙️ Rate Card'!C25,IF(P35="AWS QuickSight",'⚙️ Rate Card'!C27,IF(P35="Power BI",'⚙️ Rate Card'!C28,IF(P35="Custom Reporting Solution",'⚙️ Rate Card'!C26,0)))))+IF(B35="",0,'⚙️ Rate Card'!C33+(D35/100)*'⚙️ Rate Card'!C34)))*'⚙️ Rate Card'!C36*0.4+(((D35/100)*'⚙️ Rate Card'!C7+F35*'⚙️ Rate Card'!C9+G35*'⚙️ Rate Card'!C10+H35*'⚙️ Rate Card'!C11+I35*'⚙️ Rate Card'!C12+J35*'⚙️ Rate Card'!C13+K35*'⚙️ Rate Card'!C14+(D35/100)*'⚙️ Rate Card'!C8+L35*IF(OR(O35="N/A",O35="None",O35=""),0,IF(O35="High",'⚙️ Rate Card'!C20,IF(O35="Medium",'⚙️ Rate Card'!C19,'⚙️ Rate Card'!C18)))+M35*IF(OR(P35="Decommission",P35=""),'⚙️ Rate Card'!C29,IF(P35="EC2 (Lift &amp; Shift)",'⚙️ Rate Card'!C25,IF(P35="AWS QuickSight",'⚙️ Rate Card'!C27,IF(P35="Power BI",'⚙️ Rate Card'!C28,IF(P35="Custom Reporting Solution",'⚙️ Rate Card'!C26,0)))))+IF(B35="",0,'⚙️ Rate Card'!C33+(D35/100)*'⚙️ Rate Card'!C34)))*'⚙️ Rate Card'!C37*0.4)</f>
        <v>0</v>
      </c>
      <c r="AN35" s="38" t="n">
        <f aca="false">IF(B35="",0,AH35+AK35+(M35*IF(OR(P35="Decommission",P35=""),'⚙️ Rate Card'!C29,IF(P35="EC2 (Lift &amp; Shift)",'⚙️ Rate Card'!C25,IF(P35="AWS QuickSight",'⚙️ Rate Card'!C27,IF(P35="Power BI",'⚙️ Rate Card'!C28,IF(P35="Custom Reporting Solution",'⚙️ Rate Card'!C26,0))))))*0.4+(IF(B35="",0,'⚙️ Rate Card'!C33+(D35/100)*'⚙️ Rate Card'!C34))*0.4+AD35+(((D35/100)*'⚙️ Rate Card'!C7+F35*'⚙️ Rate Card'!C9+G35*'⚙️ Rate Card'!C10+H35*'⚙️ Rate Card'!C11+I35*'⚙️ Rate Card'!C12+J35*'⚙️ Rate Card'!C13+K35*'⚙️ Rate Card'!C14+(D35/100)*'⚙️ Rate Card'!C8+L35*IF(OR(O35="N/A",O35="None",O35=""),0,IF(O35="High",'⚙️ Rate Card'!C20,IF(O35="Medium",'⚙️ Rate Card'!C19,'⚙️ Rate Card'!C18)))+M35*IF(OR(P35="Decommission",P35=""),'⚙️ Rate Card'!C29,IF(P35="EC2 (Lift &amp; Shift)",'⚙️ Rate Card'!C25,IF(P35="AWS QuickSight",'⚙️ Rate Card'!C27,IF(P35="Power BI",'⚙️ Rate Card'!C28,IF(P35="Custom Reporting Solution",'⚙️ Rate Card'!C26,0)))))+IF(B35="",0,'⚙️ Rate Card'!C33+(D35/100)*'⚙️ Rate Card'!C34)))*'⚙️ Rate Card'!C35*0.4+(((D35/100)*'⚙️ Rate Card'!C7+F35*'⚙️ Rate Card'!C9+G35*'⚙️ Rate Card'!C10+H35*'⚙️ Rate Card'!C11+I35*'⚙️ Rate Card'!C12+J35*'⚙️ Rate Card'!C13+K35*'⚙️ Rate Card'!C14+(D35/100)*'⚙️ Rate Card'!C8+L35*IF(OR(O35="N/A",O35="None",O35=""),0,IF(O35="High",'⚙️ Rate Card'!C20,IF(O35="Medium",'⚙️ Rate Card'!C19,'⚙️ Rate Card'!C18)))+M35*IF(OR(P35="Decommission",P35=""),'⚙️ Rate Card'!C29,IF(P35="EC2 (Lift &amp; Shift)",'⚙️ Rate Card'!C25,IF(P35="AWS QuickSight",'⚙️ Rate Card'!C27,IF(P35="Power BI",'⚙️ Rate Card'!C28,IF(P35="Custom Reporting Solution",'⚙️ Rate Card'!C26,0)))))+IF(B35="",0,'⚙️ Rate Card'!C33+(D35/100)*'⚙️ Rate Card'!C34)))*'⚙️ Rate Card'!C36*0.4+(((D35/100)*'⚙️ Rate Card'!C7+F35*'⚙️ Rate Card'!C9+G35*'⚙️ Rate Card'!C10+H35*'⚙️ Rate Card'!C11+I35*'⚙️ Rate Card'!C12+J35*'⚙️ Rate Card'!C13+K35*'⚙️ Rate Card'!C14+(D35/100)*'⚙️ Rate Card'!C8+L35*IF(OR(O35="N/A",O35="None",O35=""),0,IF(O35="High",'⚙️ Rate Card'!C20,IF(O35="Medium",'⚙️ Rate Card'!C19,'⚙️ Rate Card'!C18)))+M35*IF(OR(P35="Decommission",P35=""),'⚙️ Rate Card'!C29,IF(P35="EC2 (Lift &amp; Shift)",'⚙️ Rate Card'!C25,IF(P35="AWS QuickSight",'⚙️ Rate Card'!C27,IF(P35="Power BI",'⚙️ Rate Card'!C28,IF(P35="Custom Reporting Solution",'⚙️ Rate Card'!C26,0)))))+IF(B35="",0,'⚙️ Rate Card'!C33+(D35/100)*'⚙️ Rate Card'!C34)))*'⚙️ Rate Card'!C37*0.4)</f>
        <v>0</v>
      </c>
      <c r="AO35" s="39" t="n">
        <f aca="false">IF(B35="",0,AI35+AL35+(M35*IF(OR(P35="Decommission",P35=""),'⚙️ Rate Card'!C29,IF(P35="EC2 (Lift &amp; Shift)",'⚙️ Rate Card'!C25,IF(P35="AWS QuickSight",'⚙️ Rate Card'!C27,IF(P35="Power BI",'⚙️ Rate Card'!C28,IF(P35="Custom Reporting Solution",'⚙️ Rate Card'!C26,0))))))*0.2+(IF(B35="",0,'⚙️ Rate Card'!C33+(D35/100)*'⚙️ Rate Card'!C34))*0.2+AE35+(((D35/100)*'⚙️ Rate Card'!C7+F35*'⚙️ Rate Card'!C9+G35*'⚙️ Rate Card'!C10+H35*'⚙️ Rate Card'!C11+I35*'⚙️ Rate Card'!C12+J35*'⚙️ Rate Card'!C13+K35*'⚙️ Rate Card'!C14+(D35/100)*'⚙️ Rate Card'!C8+L35*IF(OR(O35="N/A",O35="None",O35=""),0,IF(O35="High",'⚙️ Rate Card'!C20,IF(O35="Medium",'⚙️ Rate Card'!C19,'⚙️ Rate Card'!C18)))+M35*IF(OR(P35="Decommission",P35=""),'⚙️ Rate Card'!C29,IF(P35="EC2 (Lift &amp; Shift)",'⚙️ Rate Card'!C25,IF(P35="AWS QuickSight",'⚙️ Rate Card'!C27,IF(P35="Power BI",'⚙️ Rate Card'!C28,IF(P35="Custom Reporting Solution",'⚙️ Rate Card'!C26,0)))))+IF(B35="",0,'⚙️ Rate Card'!C33+(D35/100)*'⚙️ Rate Card'!C34)))*'⚙️ Rate Card'!C35*0.2+(((D35/100)*'⚙️ Rate Card'!C7+F35*'⚙️ Rate Card'!C9+G35*'⚙️ Rate Card'!C10+H35*'⚙️ Rate Card'!C11+I35*'⚙️ Rate Card'!C12+J35*'⚙️ Rate Card'!C13+K35*'⚙️ Rate Card'!C14+(D35/100)*'⚙️ Rate Card'!C8+L35*IF(OR(O35="N/A",O35="None",O35=""),0,IF(O35="High",'⚙️ Rate Card'!C20,IF(O35="Medium",'⚙️ Rate Card'!C19,'⚙️ Rate Card'!C18)))+M35*IF(OR(P35="Decommission",P35=""),'⚙️ Rate Card'!C29,IF(P35="EC2 (Lift &amp; Shift)",'⚙️ Rate Card'!C25,IF(P35="AWS QuickSight",'⚙️ Rate Card'!C27,IF(P35="Power BI",'⚙️ Rate Card'!C28,IF(P35="Custom Reporting Solution",'⚙️ Rate Card'!C26,0)))))+IF(B35="",0,'⚙️ Rate Card'!C33+(D35/100)*'⚙️ Rate Card'!C34)))*'⚙️ Rate Card'!C36*0.2+(((D35/100)*'⚙️ Rate Card'!C7+F35*'⚙️ Rate Card'!C9+G35*'⚙️ Rate Card'!C10+H35*'⚙️ Rate Card'!C11+I35*'⚙️ Rate Card'!C12+J35*'⚙️ Rate Card'!C13+K35*'⚙️ Rate Card'!C14+(D35/100)*'⚙️ Rate Card'!C8+L35*IF(OR(O35="N/A",O35="None",O35=""),0,IF(O35="High",'⚙️ Rate Card'!C20,IF(O35="Medium",'⚙️ Rate Card'!C19,'⚙️ Rate Card'!C18)))+M35*IF(OR(P35="Decommission",P35=""),'⚙️ Rate Card'!C29,IF(P35="EC2 (Lift &amp; Shift)",'⚙️ Rate Card'!C25,IF(P35="AWS QuickSight",'⚙️ Rate Card'!C27,IF(P35="Power BI",'⚙️ Rate Card'!C28,IF(P35="Custom Reporting Solution",'⚙️ Rate Card'!C26,0)))))+IF(B35="",0,'⚙️ Rate Card'!C33+(D35/100)*'⚙️ Rate Card'!C34)))*'⚙️ Rate Card'!C37*0.2)</f>
        <v>0</v>
      </c>
      <c r="AP35" s="42" t="n">
        <f aca="false">'✏️ SME Input'!B36</f>
        <v>0</v>
      </c>
      <c r="AQ35" s="42" t="n">
        <f aca="false">'✏️ SME Input'!C36</f>
        <v>0</v>
      </c>
      <c r="AR35" s="42" t="n">
        <f aca="false">'✏️ SME Input'!D36</f>
        <v>0</v>
      </c>
    </row>
    <row r="36" customFormat="false" ht="18" hidden="false" customHeight="true" outlineLevel="0" collapsed="false">
      <c r="B36" s="30" t="n">
        <f aca="false">'✏️ SME Input'!E37</f>
        <v>0</v>
      </c>
      <c r="C36" s="31" t="str">
        <f aca="false">IF(B36="","",IF(D36&gt;1000,"T3 Complex",IF(D36&gt;500,"T2 Moderate","T1 Simple")))</f>
        <v/>
      </c>
      <c r="D36" s="32" t="n">
        <f aca="false">'✏️ SME Input'!G37</f>
        <v>0</v>
      </c>
      <c r="E36" s="32" t="n">
        <f aca="false">'✏️ SME Input'!H37</f>
        <v>0</v>
      </c>
      <c r="F36" s="32" t="n">
        <f aca="false">'✏️ SME Input'!I37</f>
        <v>0</v>
      </c>
      <c r="G36" s="32" t="n">
        <f aca="false">'✏️ SME Input'!J37</f>
        <v>0</v>
      </c>
      <c r="H36" s="32" t="n">
        <f aca="false">'✏️ SME Input'!K37</f>
        <v>0</v>
      </c>
      <c r="I36" s="32" t="n">
        <f aca="false">'✏️ SME Input'!L37</f>
        <v>0</v>
      </c>
      <c r="J36" s="32" t="n">
        <f aca="false">'✏️ SME Input'!M37</f>
        <v>0</v>
      </c>
      <c r="K36" s="32" t="n">
        <f aca="false">'✏️ SME Input'!N37</f>
        <v>0</v>
      </c>
      <c r="L36" s="32" t="n">
        <f aca="false">'✏️ SME Input'!O37</f>
        <v>0</v>
      </c>
      <c r="M36" s="32" t="n">
        <f aca="false">'✏️ SME Input'!P37</f>
        <v>0</v>
      </c>
      <c r="N36" s="17" t="n">
        <f aca="false">'✏️ SME Input'!Q37</f>
        <v>0</v>
      </c>
      <c r="O36" s="32" t="n">
        <f aca="false">'✏️ SME Input'!R37</f>
        <v>0</v>
      </c>
      <c r="P36" s="32" t="n">
        <f aca="false">'✏️ SME Input'!S37</f>
        <v>0</v>
      </c>
      <c r="Q36" s="32" t="n">
        <f aca="false">'✏️ SME Input'!F37</f>
        <v>0</v>
      </c>
      <c r="R36" s="34" t="n">
        <f aca="false">IF(B36="",0,((D36/100)*'⚙️ Rate Card'!C7+F36*'⚙️ Rate Card'!C9+G36*'⚙️ Rate Card'!C10+H36*'⚙️ Rate Card'!C11+I36*'⚙️ Rate Card'!C12+J36*'⚙️ Rate Card'!C13+K36*'⚙️ Rate Card'!C14+(D36/100)*'⚙️ Rate Card'!C8+L36*IF(OR(O36="N/A",O36="None",O36=""),0,IF(O36="High",'⚙️ Rate Card'!C20,IF(O36="Medium",'⚙️ Rate Card'!C19,'⚙️ Rate Card'!C18)))+M36*IF(OR(P36="Decommission",P36=""),'⚙️ Rate Card'!C29,IF(P36="EC2 (Lift &amp; Shift)",'⚙️ Rate Card'!C25,IF(P36="AWS QuickSight",'⚙️ Rate Card'!C27,IF(P36="Power BI",'⚙️ Rate Card'!C28,IF(P36="Custom Reporting Solution",'⚙️ Rate Card'!C26,0)))))+IF(B36="",0,'⚙️ Rate Card'!C33+(D36/100)*'⚙️ Rate Card'!C34))*'⚙️ Rate Card'!C37+(D36/100)*'⚙️ Rate Card'!C7+F36*'⚙️ Rate Card'!C9+G36*'⚙️ Rate Card'!C10+H36*'⚙️ Rate Card'!C11+I36*'⚙️ Rate Card'!C12+J36*'⚙️ Rate Card'!C13+K36*'⚙️ Rate Card'!C14+(D36/100)*'⚙️ Rate Card'!C8+(D36/100)*'⚙️ Rate Card'!C8+L36*IF(OR(O36="N/A",O36="None",O36=""),0,IF(O36="High",'⚙️ Rate Card'!C20,IF(O36="Medium",'⚙️ Rate Card'!C19,'⚙️ Rate Card'!C18)))+M36*IF(OR(P36="Decommission",P36=""),'⚙️ Rate Card'!C29,IF(P36="EC2 (Lift &amp; Shift)",'⚙️ Rate Card'!C25,IF(P36="AWS QuickSight",'⚙️ Rate Card'!C27,IF(P36="Power BI",'⚙️ Rate Card'!C28,IF(P36="Custom Reporting Solution",'⚙️ Rate Card'!C26,0)))))+IF(B36="",0,'⚙️ Rate Card'!C33+(D36/100)*'⚙️ Rate Card'!C34)+((D36/100)*'⚙️ Rate Card'!C7+F36*'⚙️ Rate Card'!C9+G36*'⚙️ Rate Card'!C10+H36*'⚙️ Rate Card'!C11+I36*'⚙️ Rate Card'!C12+J36*'⚙️ Rate Card'!C13+K36*'⚙️ Rate Card'!C14+(D36/100)*'⚙️ Rate Card'!C8+L36*IF(OR(O36="N/A",O36="None",O36=""),0,IF(O36="High",'⚙️ Rate Card'!C20,IF(O36="Medium",'⚙️ Rate Card'!C19,'⚙️ Rate Card'!C18)))+M36*IF(OR(P36="Decommission",P36=""),'⚙️ Rate Card'!C29,IF(P36="EC2 (Lift &amp; Shift)",'⚙️ Rate Card'!C25,IF(P36="AWS QuickSight",'⚙️ Rate Card'!C27,IF(P36="Power BI",'⚙️ Rate Card'!C28,IF(P36="Custom Reporting Solution",'⚙️ Rate Card'!C26,0)))))+IF(B36="",0,'⚙️ Rate Card'!C33+(D36/100)*'⚙️ Rate Card'!C34))*'⚙️ Rate Card'!C35+((D36/100)*'⚙️ Rate Card'!C7+F36*'⚙️ Rate Card'!C9+G36*'⚙️ Rate Card'!C10+H36*'⚙️ Rate Card'!C11+I36*'⚙️ Rate Card'!C12+J36*'⚙️ Rate Card'!C13+K36*'⚙️ Rate Card'!C14+(D36/100)*'⚙️ Rate Card'!C8+L36*IF(OR(O36="N/A",O36="None",O36=""),0,IF(O36="High",'⚙️ Rate Card'!C20,IF(O36="Medium",'⚙️ Rate Card'!C19,'⚙️ Rate Card'!C18)))+M36*IF(OR(P36="Decommission",P36=""),'⚙️ Rate Card'!C29,IF(P36="EC2 (Lift &amp; Shift)",'⚙️ Rate Card'!C25,IF(P36="AWS QuickSight",'⚙️ Rate Card'!C27,IF(P36="Power BI",'⚙️ Rate Card'!C28,IF(P36="Custom Reporting Solution",'⚙️ Rate Card'!C26,0)))))+IF(B36="",0,'⚙️ Rate Card'!C33+(D36/100)*'⚙️ Rate Card'!C34))*'⚙️ Rate Card'!C36)</f>
        <v>0</v>
      </c>
      <c r="S36" s="34" t="n">
        <f aca="false">IF(B36="",0,(((D36/100)*'⚙️ Rate Card'!C7+F36*'⚙️ Rate Card'!C9+G36*'⚙️ Rate Card'!C10+H36*'⚙️ Rate Card'!C11+I36*'⚙️ Rate Card'!C12+J36*'⚙️ Rate Card'!C13+K36*'⚙️ Rate Card'!C14+(D36/100)*'⚙️ Rate Card'!C8+L36*IF(OR(O36="N/A",O36="None",O36=""),0,IF(O36="High",'⚙️ Rate Card'!C20,IF(O36="Medium",'⚙️ Rate Card'!C19,'⚙️ Rate Card'!C18)))+M36*IF(OR(P36="Decommission",P36=""),'⚙️ Rate Card'!C29,IF(P36="EC2 (Lift &amp; Shift)",'⚙️ Rate Card'!C25,IF(P36="AWS QuickSight",'⚙️ Rate Card'!C27,IF(P36="Power BI",'⚙️ Rate Card'!C28,IF(P36="Custom Reporting Solution",'⚙️ Rate Card'!C26,0)))))+IF(B36="",0,'⚙️ Rate Card'!C33+(D36/100)*'⚙️ Rate Card'!C34))*'⚙️ Rate Card'!C37)*(1-'📊 Dashboard'!C10/100)+(((D36/100)*'⚙️ Rate Card'!C7+F36*'⚙️ Rate Card'!C9+G36*'⚙️ Rate Card'!C10+H36*'⚙️ Rate Card'!C11+I36*'⚙️ Rate Card'!C12+J36*'⚙️ Rate Card'!C13+K36*'⚙️ Rate Card'!C14+(D36/100)*'⚙️ Rate Card'!C8+(D36/100)*'⚙️ Rate Card'!C8))*(1-'📊 Dashboard'!C10/100)+(L36*IF(OR(O36="N/A",O36="None",O36=""),0,IF(O36="High",'⚙️ Rate Card'!C20,IF(O36="Medium",'⚙️ Rate Card'!C19,'⚙️ Rate Card'!C18))))*(1-'📊 Dashboard'!C11/100)+(M36*IF(OR(P36="Decommission",P36=""),'⚙️ Rate Card'!C29,IF(P36="EC2 (Lift &amp; Shift)",'⚙️ Rate Card'!C25,IF(P36="AWS QuickSight",'⚙️ Rate Card'!C27,IF(P36="Power BI",'⚙️ Rate Card'!C28,IF(P36="Custom Reporting Solution",'⚙️ Rate Card'!C26,0))))))*(1-'📊 Dashboard'!C12/100)+(IF(B36="",0,'⚙️ Rate Card'!C33+(D36/100)*'⚙️ Rate Card'!C34))*(1-'📊 Dashboard'!C10/100)+(((D36/100)*'⚙️ Rate Card'!C7+F36*'⚙️ Rate Card'!C9+G36*'⚙️ Rate Card'!C10+H36*'⚙️ Rate Card'!C11+I36*'⚙️ Rate Card'!C12+J36*'⚙️ Rate Card'!C13+K36*'⚙️ Rate Card'!C14+(D36/100)*'⚙️ Rate Card'!C8+L36*IF(OR(O36="N/A",O36="None",O36=""),0,IF(O36="High",'⚙️ Rate Card'!C20,IF(O36="Medium",'⚙️ Rate Card'!C19,'⚙️ Rate Card'!C18)))+M36*IF(OR(P36="Decommission",P36=""),'⚙️ Rate Card'!C29,IF(P36="EC2 (Lift &amp; Shift)",'⚙️ Rate Card'!C25,IF(P36="AWS QuickSight",'⚙️ Rate Card'!C27,IF(P36="Power BI",'⚙️ Rate Card'!C28,IF(P36="Custom Reporting Solution",'⚙️ Rate Card'!C26,0)))))+IF(B36="",0,'⚙️ Rate Card'!C33+(D36/100)*'⚙️ Rate Card'!C34))*'⚙️ Rate Card'!C35)*(1-'📊 Dashboard'!C13/100)+(((D36/100)*'⚙️ Rate Card'!C7+F36*'⚙️ Rate Card'!C9+G36*'⚙️ Rate Card'!C10+H36*'⚙️ Rate Card'!C11+I36*'⚙️ Rate Card'!C12+J36*'⚙️ Rate Card'!C13+K36*'⚙️ Rate Card'!C14+(D36/100)*'⚙️ Rate Card'!C8+L36*IF(OR(O36="N/A",O36="None",O36=""),0,IF(O36="High",'⚙️ Rate Card'!C20,IF(O36="Medium",'⚙️ Rate Card'!C19,'⚙️ Rate Card'!C18)))+M36*IF(OR(P36="Decommission",P36=""),'⚙️ Rate Card'!C29,IF(P36="EC2 (Lift &amp; Shift)",'⚙️ Rate Card'!C25,IF(P36="AWS QuickSight",'⚙️ Rate Card'!C27,IF(P36="Power BI",'⚙️ Rate Card'!C28,IF(P36="Custom Reporting Solution",'⚙️ Rate Card'!C26,0)))))+IF(B36="",0,'⚙️ Rate Card'!C33+(D36/100)*'⚙️ Rate Card'!C34))*'⚙️ Rate Card'!C36)*(1-'📊 Dashboard'!C10/100))</f>
        <v>0</v>
      </c>
      <c r="T36" s="35" t="n">
        <f aca="false">IF(B36="",0,S36*(1+'📊 Dashboard'!C14/100))</f>
        <v>0</v>
      </c>
      <c r="U36" s="36" t="n">
        <f aca="false">IF(B36="",0,((D36/100)*'⚙️ Rate Card'!C7+F36*'⚙️ Rate Card'!C9+G36*'⚙️ Rate Card'!C10+H36*'⚙️ Rate Card'!C11+I36*'⚙️ Rate Card'!C12+J36*'⚙️ Rate Card'!C13+K36*'⚙️ Rate Card'!C14+(D36/100)*'⚙️ Rate Card'!C8+L36*IF(OR(O36="N/A",O36="None",O36=""),0,IF(O36="High",'⚙️ Rate Card'!C20,IF(O36="Medium",'⚙️ Rate Card'!C19,'⚙️ Rate Card'!C18)))+M36*IF(OR(P36="Decommission",P36=""),'⚙️ Rate Card'!C29,IF(P36="EC2 (Lift &amp; Shift)",'⚙️ Rate Card'!C25,IF(P36="AWS QuickSight",'⚙️ Rate Card'!C27,IF(P36="Power BI",'⚙️ Rate Card'!C28,IF(P36="Custom Reporting Solution",'⚙️ Rate Card'!C26,0)))))+IF(B36="",0,'⚙️ Rate Card'!C33+(D36/100)*'⚙️ Rate Card'!C34))*'⚙️ Rate Card'!C37)</f>
        <v>0</v>
      </c>
      <c r="V36" s="36" t="n">
        <f aca="false">IF(B36="",0,(D36/100)*'⚙️ Rate Card'!C7+F36*'⚙️ Rate Card'!C9+G36*'⚙️ Rate Card'!C10+H36*'⚙️ Rate Card'!C11+I36*'⚙️ Rate Card'!C12+J36*'⚙️ Rate Card'!C13+K36*'⚙️ Rate Card'!C14+(D36/100)*'⚙️ Rate Card'!C8+(D36/100)*'⚙️ Rate Card'!C8)</f>
        <v>0</v>
      </c>
      <c r="W36" s="36" t="n">
        <f aca="false">IF(B36="",0,L36*IF(OR(O36="N/A",O36="None",O36=""),0,IF(O36="High",'⚙️ Rate Card'!C20,IF(O36="Medium",'⚙️ Rate Card'!C19,'⚙️ Rate Card'!C18))))</f>
        <v>0</v>
      </c>
      <c r="X36" s="36" t="n">
        <f aca="false">IF(B36="",0,M36*IF(OR(P36="Decommission",P36=""),'⚙️ Rate Card'!C29,IF(P36="EC2 (Lift &amp; Shift)",'⚙️ Rate Card'!C25,IF(P36="AWS QuickSight",'⚙️ Rate Card'!C27,IF(P36="Power BI",'⚙️ Rate Card'!C28,IF(P36="Custom Reporting Solution",'⚙️ Rate Card'!C26,0))))))</f>
        <v>0</v>
      </c>
      <c r="Y36" s="36" t="n">
        <f aca="false">IF(B36="",0,IF(B36="",0,'⚙️ Rate Card'!C33+(D36/100)*'⚙️ Rate Card'!C34))</f>
        <v>0</v>
      </c>
      <c r="Z36" s="36" t="n">
        <f aca="false">IF(B36="",0,((D36/100)*'⚙️ Rate Card'!C7+F36*'⚙️ Rate Card'!C9+G36*'⚙️ Rate Card'!C10+H36*'⚙️ Rate Card'!C11+I36*'⚙️ Rate Card'!C12+J36*'⚙️ Rate Card'!C13+K36*'⚙️ Rate Card'!C14+(D36/100)*'⚙️ Rate Card'!C8+L36*IF(OR(O36="N/A",O36="None",O36=""),0,IF(O36="High",'⚙️ Rate Card'!C20,IF(O36="Medium",'⚙️ Rate Card'!C19,'⚙️ Rate Card'!C18)))+M36*IF(OR(P36="Decommission",P36=""),'⚙️ Rate Card'!C29,IF(P36="EC2 (Lift &amp; Shift)",'⚙️ Rate Card'!C25,IF(P36="AWS QuickSight",'⚙️ Rate Card'!C27,IF(P36="Power BI",'⚙️ Rate Card'!C28,IF(P36="Custom Reporting Solution",'⚙️ Rate Card'!C26,0)))))+IF(B36="",0,'⚙️ Rate Card'!C33+(D36/100)*'⚙️ Rate Card'!C34))*'⚙️ Rate Card'!C35)</f>
        <v>0</v>
      </c>
      <c r="AA36" s="36" t="n">
        <f aca="false">IF(B36="",0,((D36/100)*'⚙️ Rate Card'!C7+F36*'⚙️ Rate Card'!C9+G36*'⚙️ Rate Card'!C10+H36*'⚙️ Rate Card'!C11+I36*'⚙️ Rate Card'!C12+J36*'⚙️ Rate Card'!C13+K36*'⚙️ Rate Card'!C14+(D36/100)*'⚙️ Rate Card'!C8+L36*IF(OR(O36="N/A",O36="None",O36=""),0,IF(O36="High",'⚙️ Rate Card'!C20,IF(O36="Medium",'⚙️ Rate Card'!C19,'⚙️ Rate Card'!C18)))+M36*IF(OR(P36="Decommission",P36=""),'⚙️ Rate Card'!C29,IF(P36="EC2 (Lift &amp; Shift)",'⚙️ Rate Card'!C25,IF(P36="AWS QuickSight",'⚙️ Rate Card'!C27,IF(P36="Power BI",'⚙️ Rate Card'!C28,IF(P36="Custom Reporting Solution",'⚙️ Rate Card'!C26,0)))))+IF(B36="",0,'⚙️ Rate Card'!C33+(D36/100)*'⚙️ Rate Card'!C34))*'⚙️ Rate Card'!C36)</f>
        <v>0</v>
      </c>
      <c r="AB36" s="37" t="n">
        <f aca="false">'✏️ SME Input'!T37</f>
        <v>0</v>
      </c>
      <c r="AC36" s="36" t="n">
        <f aca="false">IF(B36="",0,AB36*0.75)</f>
        <v>0</v>
      </c>
      <c r="AD36" s="36" t="n">
        <f aca="false">IF(B36="",0,AB36*0.75)</f>
        <v>0</v>
      </c>
      <c r="AE36" s="36" t="n">
        <f aca="false">IF(B36="",0,AB36*0.75)</f>
        <v>0</v>
      </c>
      <c r="AF36" s="36" t="n">
        <f aca="false">IF(B36="",0,AB36*2.25)</f>
        <v>0</v>
      </c>
      <c r="AG36" s="36" t="n">
        <f aca="false">IF(B36="",0,((D36/100)*'⚙️ Rate Card'!C7+F36*'⚙️ Rate Card'!C9+G36*'⚙️ Rate Card'!C10+H36*'⚙️ Rate Card'!C11+I36*'⚙️ Rate Card'!C12+J36*'⚙️ Rate Card'!C13+K36*'⚙️ Rate Card'!C14+(D36/100)*'⚙️ Rate Card'!C8)*0.4)</f>
        <v>0</v>
      </c>
      <c r="AH36" s="36" t="n">
        <f aca="false">IF(B36="",0,((D36/100)*'⚙️ Rate Card'!C7+F36*'⚙️ Rate Card'!C9+G36*'⚙️ Rate Card'!C10+H36*'⚙️ Rate Card'!C11+I36*'⚙️ Rate Card'!C12+J36*'⚙️ Rate Card'!C13+K36*'⚙️ Rate Card'!C14+(D36/100)*'⚙️ Rate Card'!C8)*0.4)</f>
        <v>0</v>
      </c>
      <c r="AI36" s="36" t="n">
        <f aca="false">IF(B36="",0,((D36/100)*'⚙️ Rate Card'!C7+F36*'⚙️ Rate Card'!C9+G36*'⚙️ Rate Card'!C10+H36*'⚙️ Rate Card'!C11+I36*'⚙️ Rate Card'!C12+J36*'⚙️ Rate Card'!C13+K36*'⚙️ Rate Card'!C14+(D36/100)*'⚙️ Rate Card'!C8)*0.2)</f>
        <v>0</v>
      </c>
      <c r="AJ36" s="36" t="n">
        <f aca="false">IF(B36="",0,(L36*IF(OR(O36="N/A",O36="None",O36=""),0,IF(O36="High",'⚙️ Rate Card'!C20,IF(O36="Medium",'⚙️ Rate Card'!C19,'⚙️ Rate Card'!C18))))*0.5)</f>
        <v>0</v>
      </c>
      <c r="AK36" s="36" t="n">
        <f aca="false">IF(B36="",0,(L36*IF(OR(O36="N/A",O36="None",O36=""),0,IF(O36="High",'⚙️ Rate Card'!C20,IF(O36="Medium",'⚙️ Rate Card'!C19,'⚙️ Rate Card'!C18))))*0.35)</f>
        <v>0</v>
      </c>
      <c r="AL36" s="36" t="n">
        <f aca="false">IF(B36="",0,(L36*IF(OR(O36="N/A",O36="None",O36=""),0,IF(O36="High",'⚙️ Rate Card'!C20,IF(O36="Medium",'⚙️ Rate Card'!C19,'⚙️ Rate Card'!C18))))*0.15)</f>
        <v>0</v>
      </c>
      <c r="AM36" s="35" t="n">
        <f aca="false">IF(B36="",0,AG36+AJ36+(M36*IF(OR(P36="Decommission",P36=""),'⚙️ Rate Card'!C29,IF(P36="EC2 (Lift &amp; Shift)",'⚙️ Rate Card'!C25,IF(P36="AWS QuickSight",'⚙️ Rate Card'!C27,IF(P36="Power BI",'⚙️ Rate Card'!C28,IF(P36="Custom Reporting Solution",'⚙️ Rate Card'!C26,0))))))*0.4+(IF(B36="",0,'⚙️ Rate Card'!C33+(D36/100)*'⚙️ Rate Card'!C34))*0.4+AC36+(((D36/100)*'⚙️ Rate Card'!C7+F36*'⚙️ Rate Card'!C9+G36*'⚙️ Rate Card'!C10+H36*'⚙️ Rate Card'!C11+I36*'⚙️ Rate Card'!C12+J36*'⚙️ Rate Card'!C13+K36*'⚙️ Rate Card'!C14+(D36/100)*'⚙️ Rate Card'!C8+L36*IF(OR(O36="N/A",O36="None",O36=""),0,IF(O36="High",'⚙️ Rate Card'!C20,IF(O36="Medium",'⚙️ Rate Card'!C19,'⚙️ Rate Card'!C18)))+M36*IF(OR(P36="Decommission",P36=""),'⚙️ Rate Card'!C29,IF(P36="EC2 (Lift &amp; Shift)",'⚙️ Rate Card'!C25,IF(P36="AWS QuickSight",'⚙️ Rate Card'!C27,IF(P36="Power BI",'⚙️ Rate Card'!C28,IF(P36="Custom Reporting Solution",'⚙️ Rate Card'!C26,0)))))+IF(B36="",0,'⚙️ Rate Card'!C33+(D36/100)*'⚙️ Rate Card'!C34)))*'⚙️ Rate Card'!C35*0.4+(((D36/100)*'⚙️ Rate Card'!C7+F36*'⚙️ Rate Card'!C9+G36*'⚙️ Rate Card'!C10+H36*'⚙️ Rate Card'!C11+I36*'⚙️ Rate Card'!C12+J36*'⚙️ Rate Card'!C13+K36*'⚙️ Rate Card'!C14+(D36/100)*'⚙️ Rate Card'!C8+L36*IF(OR(O36="N/A",O36="None",O36=""),0,IF(O36="High",'⚙️ Rate Card'!C20,IF(O36="Medium",'⚙️ Rate Card'!C19,'⚙️ Rate Card'!C18)))+M36*IF(OR(P36="Decommission",P36=""),'⚙️ Rate Card'!C29,IF(P36="EC2 (Lift &amp; Shift)",'⚙️ Rate Card'!C25,IF(P36="AWS QuickSight",'⚙️ Rate Card'!C27,IF(P36="Power BI",'⚙️ Rate Card'!C28,IF(P36="Custom Reporting Solution",'⚙️ Rate Card'!C26,0)))))+IF(B36="",0,'⚙️ Rate Card'!C33+(D36/100)*'⚙️ Rate Card'!C34)))*'⚙️ Rate Card'!C36*0.4+(((D36/100)*'⚙️ Rate Card'!C7+F36*'⚙️ Rate Card'!C9+G36*'⚙️ Rate Card'!C10+H36*'⚙️ Rate Card'!C11+I36*'⚙️ Rate Card'!C12+J36*'⚙️ Rate Card'!C13+K36*'⚙️ Rate Card'!C14+(D36/100)*'⚙️ Rate Card'!C8+L36*IF(OR(O36="N/A",O36="None",O36=""),0,IF(O36="High",'⚙️ Rate Card'!C20,IF(O36="Medium",'⚙️ Rate Card'!C19,'⚙️ Rate Card'!C18)))+M36*IF(OR(P36="Decommission",P36=""),'⚙️ Rate Card'!C29,IF(P36="EC2 (Lift &amp; Shift)",'⚙️ Rate Card'!C25,IF(P36="AWS QuickSight",'⚙️ Rate Card'!C27,IF(P36="Power BI",'⚙️ Rate Card'!C28,IF(P36="Custom Reporting Solution",'⚙️ Rate Card'!C26,0)))))+IF(B36="",0,'⚙️ Rate Card'!C33+(D36/100)*'⚙️ Rate Card'!C34)))*'⚙️ Rate Card'!C37*0.4)</f>
        <v>0</v>
      </c>
      <c r="AN36" s="38" t="n">
        <f aca="false">IF(B36="",0,AH36+AK36+(M36*IF(OR(P36="Decommission",P36=""),'⚙️ Rate Card'!C29,IF(P36="EC2 (Lift &amp; Shift)",'⚙️ Rate Card'!C25,IF(P36="AWS QuickSight",'⚙️ Rate Card'!C27,IF(P36="Power BI",'⚙️ Rate Card'!C28,IF(P36="Custom Reporting Solution",'⚙️ Rate Card'!C26,0))))))*0.4+(IF(B36="",0,'⚙️ Rate Card'!C33+(D36/100)*'⚙️ Rate Card'!C34))*0.4+AD36+(((D36/100)*'⚙️ Rate Card'!C7+F36*'⚙️ Rate Card'!C9+G36*'⚙️ Rate Card'!C10+H36*'⚙️ Rate Card'!C11+I36*'⚙️ Rate Card'!C12+J36*'⚙️ Rate Card'!C13+K36*'⚙️ Rate Card'!C14+(D36/100)*'⚙️ Rate Card'!C8+L36*IF(OR(O36="N/A",O36="None",O36=""),0,IF(O36="High",'⚙️ Rate Card'!C20,IF(O36="Medium",'⚙️ Rate Card'!C19,'⚙️ Rate Card'!C18)))+M36*IF(OR(P36="Decommission",P36=""),'⚙️ Rate Card'!C29,IF(P36="EC2 (Lift &amp; Shift)",'⚙️ Rate Card'!C25,IF(P36="AWS QuickSight",'⚙️ Rate Card'!C27,IF(P36="Power BI",'⚙️ Rate Card'!C28,IF(P36="Custom Reporting Solution",'⚙️ Rate Card'!C26,0)))))+IF(B36="",0,'⚙️ Rate Card'!C33+(D36/100)*'⚙️ Rate Card'!C34)))*'⚙️ Rate Card'!C35*0.4+(((D36/100)*'⚙️ Rate Card'!C7+F36*'⚙️ Rate Card'!C9+G36*'⚙️ Rate Card'!C10+H36*'⚙️ Rate Card'!C11+I36*'⚙️ Rate Card'!C12+J36*'⚙️ Rate Card'!C13+K36*'⚙️ Rate Card'!C14+(D36/100)*'⚙️ Rate Card'!C8+L36*IF(OR(O36="N/A",O36="None",O36=""),0,IF(O36="High",'⚙️ Rate Card'!C20,IF(O36="Medium",'⚙️ Rate Card'!C19,'⚙️ Rate Card'!C18)))+M36*IF(OR(P36="Decommission",P36=""),'⚙️ Rate Card'!C29,IF(P36="EC2 (Lift &amp; Shift)",'⚙️ Rate Card'!C25,IF(P36="AWS QuickSight",'⚙️ Rate Card'!C27,IF(P36="Power BI",'⚙️ Rate Card'!C28,IF(P36="Custom Reporting Solution",'⚙️ Rate Card'!C26,0)))))+IF(B36="",0,'⚙️ Rate Card'!C33+(D36/100)*'⚙️ Rate Card'!C34)))*'⚙️ Rate Card'!C36*0.4+(((D36/100)*'⚙️ Rate Card'!C7+F36*'⚙️ Rate Card'!C9+G36*'⚙️ Rate Card'!C10+H36*'⚙️ Rate Card'!C11+I36*'⚙️ Rate Card'!C12+J36*'⚙️ Rate Card'!C13+K36*'⚙️ Rate Card'!C14+(D36/100)*'⚙️ Rate Card'!C8+L36*IF(OR(O36="N/A",O36="None",O36=""),0,IF(O36="High",'⚙️ Rate Card'!C20,IF(O36="Medium",'⚙️ Rate Card'!C19,'⚙️ Rate Card'!C18)))+M36*IF(OR(P36="Decommission",P36=""),'⚙️ Rate Card'!C29,IF(P36="EC2 (Lift &amp; Shift)",'⚙️ Rate Card'!C25,IF(P36="AWS QuickSight",'⚙️ Rate Card'!C27,IF(P36="Power BI",'⚙️ Rate Card'!C28,IF(P36="Custom Reporting Solution",'⚙️ Rate Card'!C26,0)))))+IF(B36="",0,'⚙️ Rate Card'!C33+(D36/100)*'⚙️ Rate Card'!C34)))*'⚙️ Rate Card'!C37*0.4)</f>
        <v>0</v>
      </c>
      <c r="AO36" s="39" t="n">
        <f aca="false">IF(B36="",0,AI36+AL36+(M36*IF(OR(P36="Decommission",P36=""),'⚙️ Rate Card'!C29,IF(P36="EC2 (Lift &amp; Shift)",'⚙️ Rate Card'!C25,IF(P36="AWS QuickSight",'⚙️ Rate Card'!C27,IF(P36="Power BI",'⚙️ Rate Card'!C28,IF(P36="Custom Reporting Solution",'⚙️ Rate Card'!C26,0))))))*0.2+(IF(B36="",0,'⚙️ Rate Card'!C33+(D36/100)*'⚙️ Rate Card'!C34))*0.2+AE36+(((D36/100)*'⚙️ Rate Card'!C7+F36*'⚙️ Rate Card'!C9+G36*'⚙️ Rate Card'!C10+H36*'⚙️ Rate Card'!C11+I36*'⚙️ Rate Card'!C12+J36*'⚙️ Rate Card'!C13+K36*'⚙️ Rate Card'!C14+(D36/100)*'⚙️ Rate Card'!C8+L36*IF(OR(O36="N/A",O36="None",O36=""),0,IF(O36="High",'⚙️ Rate Card'!C20,IF(O36="Medium",'⚙️ Rate Card'!C19,'⚙️ Rate Card'!C18)))+M36*IF(OR(P36="Decommission",P36=""),'⚙️ Rate Card'!C29,IF(P36="EC2 (Lift &amp; Shift)",'⚙️ Rate Card'!C25,IF(P36="AWS QuickSight",'⚙️ Rate Card'!C27,IF(P36="Power BI",'⚙️ Rate Card'!C28,IF(P36="Custom Reporting Solution",'⚙️ Rate Card'!C26,0)))))+IF(B36="",0,'⚙️ Rate Card'!C33+(D36/100)*'⚙️ Rate Card'!C34)))*'⚙️ Rate Card'!C35*0.2+(((D36/100)*'⚙️ Rate Card'!C7+F36*'⚙️ Rate Card'!C9+G36*'⚙️ Rate Card'!C10+H36*'⚙️ Rate Card'!C11+I36*'⚙️ Rate Card'!C12+J36*'⚙️ Rate Card'!C13+K36*'⚙️ Rate Card'!C14+(D36/100)*'⚙️ Rate Card'!C8+L36*IF(OR(O36="N/A",O36="None",O36=""),0,IF(O36="High",'⚙️ Rate Card'!C20,IF(O36="Medium",'⚙️ Rate Card'!C19,'⚙️ Rate Card'!C18)))+M36*IF(OR(P36="Decommission",P36=""),'⚙️ Rate Card'!C29,IF(P36="EC2 (Lift &amp; Shift)",'⚙️ Rate Card'!C25,IF(P36="AWS QuickSight",'⚙️ Rate Card'!C27,IF(P36="Power BI",'⚙️ Rate Card'!C28,IF(P36="Custom Reporting Solution",'⚙️ Rate Card'!C26,0)))))+IF(B36="",0,'⚙️ Rate Card'!C33+(D36/100)*'⚙️ Rate Card'!C34)))*'⚙️ Rate Card'!C36*0.2+(((D36/100)*'⚙️ Rate Card'!C7+F36*'⚙️ Rate Card'!C9+G36*'⚙️ Rate Card'!C10+H36*'⚙️ Rate Card'!C11+I36*'⚙️ Rate Card'!C12+J36*'⚙️ Rate Card'!C13+K36*'⚙️ Rate Card'!C14+(D36/100)*'⚙️ Rate Card'!C8+L36*IF(OR(O36="N/A",O36="None",O36=""),0,IF(O36="High",'⚙️ Rate Card'!C20,IF(O36="Medium",'⚙️ Rate Card'!C19,'⚙️ Rate Card'!C18)))+M36*IF(OR(P36="Decommission",P36=""),'⚙️ Rate Card'!C29,IF(P36="EC2 (Lift &amp; Shift)",'⚙️ Rate Card'!C25,IF(P36="AWS QuickSight",'⚙️ Rate Card'!C27,IF(P36="Power BI",'⚙️ Rate Card'!C28,IF(P36="Custom Reporting Solution",'⚙️ Rate Card'!C26,0)))))+IF(B36="",0,'⚙️ Rate Card'!C33+(D36/100)*'⚙️ Rate Card'!C34)))*'⚙️ Rate Card'!C37*0.2)</f>
        <v>0</v>
      </c>
      <c r="AP36" s="37" t="n">
        <f aca="false">'✏️ SME Input'!B37</f>
        <v>0</v>
      </c>
      <c r="AQ36" s="37" t="n">
        <f aca="false">'✏️ SME Input'!C37</f>
        <v>0</v>
      </c>
      <c r="AR36" s="37" t="n">
        <f aca="false">'✏️ SME Input'!D37</f>
        <v>0</v>
      </c>
    </row>
    <row r="37" customFormat="false" ht="21.75" hidden="false" customHeight="true" outlineLevel="0" collapsed="false">
      <c r="B37" s="43" t="s">
        <v>33</v>
      </c>
      <c r="C37" s="44"/>
      <c r="D37" s="45" t="n">
        <f aca="false">SUM(D8:D36)</f>
        <v>0</v>
      </c>
      <c r="E37" s="45" t="n">
        <f aca="false">SUM(E8:E36)</f>
        <v>0</v>
      </c>
      <c r="F37" s="45" t="n">
        <f aca="false">SUM(F8:F36)</f>
        <v>0</v>
      </c>
      <c r="G37" s="45" t="n">
        <f aca="false">SUM(G8:G36)</f>
        <v>0</v>
      </c>
      <c r="H37" s="45" t="n">
        <f aca="false">SUM(H8:H36)</f>
        <v>0</v>
      </c>
      <c r="I37" s="45" t="n">
        <f aca="false">SUM(I8:I36)</f>
        <v>0</v>
      </c>
      <c r="J37" s="45" t="n">
        <f aca="false">SUM(J8:J36)</f>
        <v>0</v>
      </c>
      <c r="K37" s="45" t="n">
        <f aca="false">SUM(K8:K36)</f>
        <v>0</v>
      </c>
      <c r="L37" s="45" t="n">
        <f aca="false">SUM(L8:L36)</f>
        <v>0</v>
      </c>
      <c r="M37" s="45" t="n">
        <f aca="false">SUM(M8:M36)</f>
        <v>0</v>
      </c>
      <c r="N37" s="21" t="n">
        <f aca="false">SUM(N8:N36)</f>
        <v>0</v>
      </c>
      <c r="O37" s="44"/>
      <c r="P37" s="44"/>
      <c r="Q37" s="44"/>
      <c r="R37" s="45" t="n">
        <f aca="false">SUM(R8:R36)</f>
        <v>0</v>
      </c>
      <c r="S37" s="45" t="n">
        <f aca="false">SUM(S8:S36)</f>
        <v>0</v>
      </c>
      <c r="T37" s="45" t="n">
        <f aca="false">SUM(T8:T36)</f>
        <v>0</v>
      </c>
      <c r="U37" s="45" t="n">
        <f aca="false">SUM(U8:U36)</f>
        <v>0</v>
      </c>
      <c r="V37" s="45" t="n">
        <f aca="false">SUM(V8:V36)</f>
        <v>0</v>
      </c>
      <c r="W37" s="45" t="n">
        <f aca="false">SUM(W8:W36)</f>
        <v>0</v>
      </c>
      <c r="X37" s="45" t="n">
        <f aca="false">SUM(X8:X36)</f>
        <v>0</v>
      </c>
      <c r="Y37" s="45" t="n">
        <f aca="false">SUM(Y8:Y36)</f>
        <v>0</v>
      </c>
      <c r="Z37" s="45" t="n">
        <f aca="false">SUM(Z8:Z36)</f>
        <v>0</v>
      </c>
      <c r="AA37" s="45" t="n">
        <f aca="false">SUM(AA8:AA36)</f>
        <v>0</v>
      </c>
      <c r="AB37" s="45" t="n">
        <f aca="false">SUM(AB8:AB36)</f>
        <v>0</v>
      </c>
      <c r="AC37" s="45" t="n">
        <f aca="false">SUM(AC8:AC36)</f>
        <v>0</v>
      </c>
      <c r="AD37" s="45" t="n">
        <f aca="false">SUM(AD8:AD36)</f>
        <v>0</v>
      </c>
      <c r="AE37" s="45" t="n">
        <f aca="false">SUM(AE8:AE36)</f>
        <v>0</v>
      </c>
      <c r="AF37" s="45" t="n">
        <f aca="false">SUM(AF8:AF36)</f>
        <v>0</v>
      </c>
      <c r="AG37" s="45" t="n">
        <f aca="false">SUM(AG8:AG36)</f>
        <v>0</v>
      </c>
      <c r="AH37" s="45" t="n">
        <f aca="false">SUM(AH8:AH36)</f>
        <v>0</v>
      </c>
      <c r="AI37" s="45" t="n">
        <f aca="false">SUM(AI8:AI36)</f>
        <v>0</v>
      </c>
      <c r="AJ37" s="45" t="n">
        <f aca="false">SUM(AJ8:AJ36)</f>
        <v>0</v>
      </c>
      <c r="AK37" s="45" t="n">
        <f aca="false">SUM(AK8:AK36)</f>
        <v>0</v>
      </c>
      <c r="AL37" s="45" t="n">
        <f aca="false">SUM(AL8:AL36)</f>
        <v>0</v>
      </c>
      <c r="AM37" s="45" t="n">
        <f aca="false">SUM(AM8:AM36)</f>
        <v>0</v>
      </c>
      <c r="AN37" s="45" t="n">
        <f aca="false">SUM(AN8:AN36)</f>
        <v>0</v>
      </c>
      <c r="AO37" s="45" t="n">
        <f aca="false">SUM(AO8:AO36)</f>
        <v>0</v>
      </c>
      <c r="AP37" s="21"/>
      <c r="AQ37" s="21"/>
      <c r="AR37" s="44"/>
    </row>
  </sheetData>
  <mergeCells count="11">
    <mergeCell ref="B1:AA3"/>
    <mergeCell ref="B4:AA4"/>
    <mergeCell ref="B5:C5"/>
    <mergeCell ref="D5:H5"/>
    <mergeCell ref="I5:N5"/>
    <mergeCell ref="O5:Q5"/>
    <mergeCell ref="R5:T5"/>
    <mergeCell ref="AB5:AF5"/>
    <mergeCell ref="AG5:AL5"/>
    <mergeCell ref="AM5:AO5"/>
    <mergeCell ref="AP5:AR5"/>
  </mergeCells>
  <dataValidations count="1">
    <dataValidation allowBlank="true" errorStyle="stop" operator="between" showDropDown="false" showErrorMessage="false" showInputMessage="false" sqref="Q8:Q36" type="list">
      <formula1>"Wave 1,Wave 2,Wave 3,Wave 4,Wave 5,Wave 6"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I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6"/>
    <col collapsed="false" customWidth="true" hidden="false" outlineLevel="0" max="8" min="3" style="1" width="17"/>
    <col collapsed="false" customWidth="true" hidden="false" outlineLevel="0" max="9" min="9" style="1" width="3"/>
  </cols>
  <sheetData>
    <row r="1" customFormat="false" ht="15" hidden="false" customHeight="true" outlineLevel="0" collapsed="false">
      <c r="A1" s="22"/>
      <c r="B1" s="23"/>
      <c r="C1" s="23"/>
      <c r="D1" s="23"/>
      <c r="E1" s="23"/>
      <c r="F1" s="23"/>
      <c r="G1" s="23"/>
      <c r="H1" s="23"/>
      <c r="I1" s="22"/>
    </row>
    <row r="2" customFormat="false" ht="30" hidden="false" customHeight="true" outlineLevel="0" collapsed="false">
      <c r="A2" s="22"/>
      <c r="B2" s="23"/>
      <c r="C2" s="23"/>
      <c r="D2" s="23"/>
      <c r="E2" s="23"/>
      <c r="F2" s="23"/>
      <c r="G2" s="23"/>
      <c r="H2" s="23"/>
      <c r="I2" s="22"/>
    </row>
    <row r="3" customFormat="false" ht="15" hidden="false" customHeight="true" outlineLevel="0" collapsed="false">
      <c r="A3" s="22"/>
      <c r="B3" s="23"/>
      <c r="C3" s="23"/>
      <c r="D3" s="23"/>
      <c r="E3" s="23"/>
      <c r="F3" s="23"/>
      <c r="G3" s="23"/>
      <c r="H3" s="23"/>
      <c r="I3" s="22"/>
    </row>
    <row r="4" customFormat="false" ht="15" hidden="false" customHeight="true" outlineLevel="0" collapsed="false">
      <c r="A4" s="22"/>
      <c r="B4" s="23"/>
      <c r="C4" s="23"/>
      <c r="D4" s="23"/>
      <c r="E4" s="23"/>
      <c r="F4" s="23"/>
      <c r="G4" s="23"/>
      <c r="H4" s="23"/>
      <c r="I4" s="22"/>
    </row>
    <row r="5" customFormat="false" ht="18" hidden="false" customHeight="true" outlineLevel="0" collapsed="false">
      <c r="A5" s="46"/>
      <c r="B5" s="47" t="s">
        <v>71</v>
      </c>
      <c r="C5" s="47"/>
      <c r="D5" s="47"/>
      <c r="E5" s="47"/>
      <c r="F5" s="47"/>
      <c r="G5" s="47"/>
      <c r="H5" s="47"/>
      <c r="I5" s="46"/>
    </row>
    <row r="7" customFormat="false" ht="19.5" hidden="false" customHeight="true" outlineLevel="0" collapsed="false">
      <c r="B7" s="48" t="s">
        <v>72</v>
      </c>
      <c r="C7" s="48"/>
      <c r="D7" s="48"/>
      <c r="E7" s="48"/>
      <c r="F7" s="48"/>
      <c r="G7" s="48"/>
      <c r="H7" s="48"/>
    </row>
    <row r="8" customFormat="false" ht="18" hidden="false" customHeight="true" outlineLevel="0" collapsed="false">
      <c r="B8" s="49" t="s">
        <v>73</v>
      </c>
      <c r="C8" s="50" t="n">
        <v>8</v>
      </c>
    </row>
    <row r="9" customFormat="false" ht="18" hidden="false" customHeight="true" outlineLevel="0" collapsed="false">
      <c r="B9" s="49" t="s">
        <v>74</v>
      </c>
      <c r="C9" s="50" t="n">
        <v>9</v>
      </c>
    </row>
    <row r="10" customFormat="false" ht="18" hidden="false" customHeight="true" outlineLevel="0" collapsed="false">
      <c r="B10" s="49" t="s">
        <v>75</v>
      </c>
      <c r="C10" s="51" t="n">
        <v>30</v>
      </c>
    </row>
    <row r="11" customFormat="false" ht="18" hidden="false" customHeight="true" outlineLevel="0" collapsed="false">
      <c r="B11" s="49" t="s">
        <v>76</v>
      </c>
      <c r="C11" s="51" t="n">
        <v>25</v>
      </c>
    </row>
    <row r="12" customFormat="false" ht="18" hidden="false" customHeight="true" outlineLevel="0" collapsed="false">
      <c r="B12" s="49" t="s">
        <v>77</v>
      </c>
      <c r="C12" s="51" t="n">
        <v>20</v>
      </c>
    </row>
    <row r="13" customFormat="false" ht="18" hidden="false" customHeight="true" outlineLevel="0" collapsed="false">
      <c r="B13" s="49" t="s">
        <v>78</v>
      </c>
      <c r="C13" s="51" t="n">
        <v>20</v>
      </c>
    </row>
    <row r="14" customFormat="false" ht="18" hidden="false" customHeight="true" outlineLevel="0" collapsed="false">
      <c r="B14" s="49" t="s">
        <v>79</v>
      </c>
      <c r="C14" s="51" t="n">
        <v>15</v>
      </c>
    </row>
    <row r="15" customFormat="false" ht="18" hidden="false" customHeight="true" outlineLevel="0" collapsed="false">
      <c r="B15" s="49" t="s">
        <v>80</v>
      </c>
      <c r="C15" s="52" t="n">
        <v>4</v>
      </c>
    </row>
    <row r="17" customFormat="false" ht="19.5" hidden="false" customHeight="true" outlineLevel="0" collapsed="false">
      <c r="B17" s="53" t="s">
        <v>81</v>
      </c>
      <c r="C17" s="53"/>
      <c r="D17" s="53"/>
      <c r="E17" s="53"/>
      <c r="F17" s="53"/>
      <c r="G17" s="53"/>
      <c r="H17" s="53"/>
    </row>
    <row r="18" customFormat="false" ht="27.75" hidden="false" customHeight="true" outlineLevel="0" collapsed="false">
      <c r="B18" s="54" t="s">
        <v>82</v>
      </c>
      <c r="C18" s="54" t="s">
        <v>83</v>
      </c>
      <c r="D18" s="54" t="s">
        <v>84</v>
      </c>
      <c r="E18" s="54" t="s">
        <v>85</v>
      </c>
      <c r="F18" s="54" t="s">
        <v>86</v>
      </c>
      <c r="G18" s="54" t="s">
        <v>87</v>
      </c>
      <c r="H18" s="54" t="s">
        <v>88</v>
      </c>
    </row>
    <row r="19" customFormat="false" ht="39.75" hidden="false" customHeight="true" outlineLevel="0" collapsed="false">
      <c r="B19" s="55" t="n">
        <f aca="false">COUNTA('📋 App Effort Detail'!B8:B36)</f>
        <v>29</v>
      </c>
      <c r="C19" s="55" t="n">
        <f aca="false">SUM('📋 App Effort Detail'!D8:D36)</f>
        <v>0</v>
      </c>
      <c r="D19" s="55" t="n">
        <f aca="false">SUM('📋 App Effort Detail'!R8:R36)</f>
        <v>0</v>
      </c>
      <c r="E19" s="55" t="n">
        <f aca="false">SUM('📋 App Effort Detail'!S8:S36)</f>
        <v>0</v>
      </c>
      <c r="F19" s="55" t="n">
        <f aca="false">SUM('📋 App Effort Detail'!T8:T36)</f>
        <v>0</v>
      </c>
      <c r="G19" s="55" t="n">
        <f aca="false">IFERROR(SUM('📋 App Effort Detail'!T8:T36)/(C9*C8*20),0)</f>
        <v>0</v>
      </c>
      <c r="H19" s="55" t="n">
        <f aca="false">IFERROR(SUM('📋 App Effort Detail'!T8:T36)/C8,0)</f>
        <v>0</v>
      </c>
    </row>
    <row r="21" customFormat="false" ht="19.5" hidden="false" customHeight="true" outlineLevel="0" collapsed="false">
      <c r="B21" s="48" t="s">
        <v>89</v>
      </c>
      <c r="C21" s="48"/>
      <c r="D21" s="48"/>
      <c r="E21" s="48"/>
      <c r="F21" s="48"/>
      <c r="G21" s="48"/>
      <c r="H21" s="48"/>
    </row>
    <row r="22" customFormat="false" ht="19.5" hidden="false" customHeight="true" outlineLevel="0" collapsed="false">
      <c r="B22" s="12" t="s">
        <v>90</v>
      </c>
      <c r="C22" s="12" t="s">
        <v>84</v>
      </c>
      <c r="D22" s="12" t="s">
        <v>91</v>
      </c>
      <c r="E22" s="12" t="s">
        <v>85</v>
      </c>
      <c r="F22" s="12" t="s">
        <v>92</v>
      </c>
      <c r="G22" s="12" t="s">
        <v>87</v>
      </c>
      <c r="H22" s="12" t="s">
        <v>93</v>
      </c>
    </row>
    <row r="23" customFormat="false" ht="18" hidden="false" customHeight="true" outlineLevel="0" collapsed="false">
      <c r="B23" s="56" t="s">
        <v>94</v>
      </c>
      <c r="C23" s="57" t="n">
        <f aca="false">SUM('📋 App Effort Detail'!U8:U36)</f>
        <v>0</v>
      </c>
      <c r="D23" s="58" t="n">
        <f aca="false">C10</f>
        <v>30</v>
      </c>
      <c r="E23" s="57" t="n">
        <f aca="false">C23*(1-D23/100)</f>
        <v>0</v>
      </c>
      <c r="F23" s="59" t="n">
        <f aca="false">E23*(1+C14/100)</f>
        <v>0</v>
      </c>
      <c r="G23" s="60" t="n">
        <f aca="false">IFERROR(F23/(C9*C8*20),0)</f>
        <v>0</v>
      </c>
      <c r="H23" s="61" t="n">
        <f aca="false">IFERROR(F23/SUM(F23:F29),0)</f>
        <v>0</v>
      </c>
    </row>
    <row r="24" customFormat="false" ht="18" hidden="false" customHeight="true" outlineLevel="0" collapsed="false">
      <c r="B24" s="62" t="s">
        <v>95</v>
      </c>
      <c r="C24" s="63" t="n">
        <f aca="false">SUM('📋 App Effort Detail'!V8:V36)</f>
        <v>0</v>
      </c>
      <c r="D24" s="58" t="n">
        <f aca="false">C10</f>
        <v>30</v>
      </c>
      <c r="E24" s="63" t="n">
        <f aca="false">C24*(1-D24/100)</f>
        <v>0</v>
      </c>
      <c r="F24" s="59" t="n">
        <f aca="false">E24*(1+C14/100)</f>
        <v>0</v>
      </c>
      <c r="G24" s="64" t="n">
        <f aca="false">IFERROR(F24/(C9*C8*20),0)</f>
        <v>0</v>
      </c>
      <c r="H24" s="65" t="n">
        <f aca="false">IFERROR(F24/SUM(F23:F29),0)</f>
        <v>0</v>
      </c>
    </row>
    <row r="25" customFormat="false" ht="18" hidden="false" customHeight="true" outlineLevel="0" collapsed="false">
      <c r="B25" s="56" t="s">
        <v>96</v>
      </c>
      <c r="C25" s="57" t="n">
        <f aca="false">SUM('📋 App Effort Detail'!W8:W36)</f>
        <v>0</v>
      </c>
      <c r="D25" s="58" t="n">
        <f aca="false">C11</f>
        <v>25</v>
      </c>
      <c r="E25" s="57" t="n">
        <f aca="false">C25*(1-D25/100)</f>
        <v>0</v>
      </c>
      <c r="F25" s="59" t="n">
        <f aca="false">E25*(1+C14/100)</f>
        <v>0</v>
      </c>
      <c r="G25" s="60" t="n">
        <f aca="false">IFERROR(F25/(C9*C8*20),0)</f>
        <v>0</v>
      </c>
      <c r="H25" s="61" t="n">
        <f aca="false">IFERROR(F25/SUM(F23:F29),0)</f>
        <v>0</v>
      </c>
    </row>
    <row r="26" customFormat="false" ht="18" hidden="false" customHeight="true" outlineLevel="0" collapsed="false">
      <c r="B26" s="62" t="s">
        <v>97</v>
      </c>
      <c r="C26" s="63" t="n">
        <f aca="false">SUM('📋 App Effort Detail'!X8:X36)</f>
        <v>0</v>
      </c>
      <c r="D26" s="58" t="n">
        <f aca="false">C12</f>
        <v>20</v>
      </c>
      <c r="E26" s="63" t="n">
        <f aca="false">C26*(1-D26/100)</f>
        <v>0</v>
      </c>
      <c r="F26" s="59" t="n">
        <f aca="false">E26*(1+C14/100)</f>
        <v>0</v>
      </c>
      <c r="G26" s="64" t="n">
        <f aca="false">IFERROR(F26/(C9*C8*20),0)</f>
        <v>0</v>
      </c>
      <c r="H26" s="65" t="n">
        <f aca="false">IFERROR(F26/SUM(F23:F29),0)</f>
        <v>0</v>
      </c>
    </row>
    <row r="27" customFormat="false" ht="18" hidden="false" customHeight="true" outlineLevel="0" collapsed="false">
      <c r="B27" s="56" t="s">
        <v>98</v>
      </c>
      <c r="C27" s="57" t="n">
        <f aca="false">SUM('📋 App Effort Detail'!Y8:Y36)</f>
        <v>0</v>
      </c>
      <c r="D27" s="58" t="n">
        <f aca="false">C10</f>
        <v>30</v>
      </c>
      <c r="E27" s="57" t="n">
        <f aca="false">C27*(1-D27/100)</f>
        <v>0</v>
      </c>
      <c r="F27" s="59" t="n">
        <f aca="false">E27*(1+C14/100)</f>
        <v>0</v>
      </c>
      <c r="G27" s="60" t="n">
        <f aca="false">IFERROR(F27/(C9*C8*20),0)</f>
        <v>0</v>
      </c>
      <c r="H27" s="61" t="n">
        <f aca="false">IFERROR(F27/SUM(F23:F29),0)</f>
        <v>0</v>
      </c>
    </row>
    <row r="28" customFormat="false" ht="18" hidden="false" customHeight="true" outlineLevel="0" collapsed="false">
      <c r="B28" s="62" t="s">
        <v>99</v>
      </c>
      <c r="C28" s="63" t="n">
        <f aca="false">SUM('📋 App Effort Detail'!Z8:Z36)</f>
        <v>0</v>
      </c>
      <c r="D28" s="58" t="n">
        <f aca="false">C13</f>
        <v>20</v>
      </c>
      <c r="E28" s="63" t="n">
        <f aca="false">C28*(1-D28/100)</f>
        <v>0</v>
      </c>
      <c r="F28" s="59" t="n">
        <f aca="false">E28*(1+C14/100)</f>
        <v>0</v>
      </c>
      <c r="G28" s="64" t="n">
        <f aca="false">IFERROR(F28/(C9*C8*20),0)</f>
        <v>0</v>
      </c>
      <c r="H28" s="65" t="n">
        <f aca="false">IFERROR(F28/SUM(F23:F29),0)</f>
        <v>0</v>
      </c>
    </row>
    <row r="29" customFormat="false" ht="18" hidden="false" customHeight="true" outlineLevel="0" collapsed="false">
      <c r="B29" s="56" t="s">
        <v>100</v>
      </c>
      <c r="C29" s="57" t="n">
        <f aca="false">SUM('📋 App Effort Detail'!AA8:AA36)</f>
        <v>0</v>
      </c>
      <c r="D29" s="58" t="n">
        <f aca="false">C10</f>
        <v>30</v>
      </c>
      <c r="E29" s="57" t="n">
        <f aca="false">C29*(1-D29/100)</f>
        <v>0</v>
      </c>
      <c r="F29" s="59" t="n">
        <f aca="false">E29*(1+C14/100)</f>
        <v>0</v>
      </c>
      <c r="G29" s="60" t="n">
        <f aca="false">IFERROR(F29/(C9*C8*20),0)</f>
        <v>0</v>
      </c>
      <c r="H29" s="61" t="n">
        <f aca="false">IFERROR(F29/SUM(F23:F29),0)</f>
        <v>0</v>
      </c>
    </row>
    <row r="30" customFormat="false" ht="19.5" hidden="false" customHeight="true" outlineLevel="0" collapsed="false">
      <c r="B30" s="43" t="s">
        <v>101</v>
      </c>
      <c r="C30" s="66" t="n">
        <f aca="false">SUM(C23:C29)</f>
        <v>0</v>
      </c>
      <c r="D30" s="66"/>
      <c r="E30" s="66" t="n">
        <f aca="false">SUM(E23:E29)</f>
        <v>0</v>
      </c>
      <c r="F30" s="66" t="n">
        <f aca="false">SUM(F23:F29)</f>
        <v>0</v>
      </c>
      <c r="G30" s="66" t="n">
        <f aca="false">SUM(G23:G29)</f>
        <v>0</v>
      </c>
      <c r="H30" s="67" t="n">
        <f aca="false">SUM(H23:H29)</f>
        <v>0</v>
      </c>
    </row>
    <row r="32" customFormat="false" ht="15" hidden="false" customHeight="true" outlineLevel="0" collapsed="false">
      <c r="B32" s="68" t="s">
        <v>102</v>
      </c>
      <c r="C32" s="68"/>
      <c r="D32" s="68"/>
      <c r="E32" s="68"/>
      <c r="F32" s="68"/>
      <c r="G32" s="68"/>
      <c r="H32" s="68"/>
    </row>
    <row r="33" customFormat="false" ht="15.75" hidden="false" customHeight="true" outlineLevel="0" collapsed="false">
      <c r="B33" s="69" t="s">
        <v>103</v>
      </c>
      <c r="C33" s="69"/>
      <c r="D33" s="69"/>
      <c r="E33" s="69"/>
      <c r="F33" s="69"/>
      <c r="G33" s="69"/>
      <c r="H33" s="69"/>
    </row>
    <row r="34" customFormat="false" ht="15.75" hidden="false" customHeight="true" outlineLevel="0" collapsed="false">
      <c r="B34" s="70" t="s">
        <v>104</v>
      </c>
      <c r="C34" s="70"/>
      <c r="D34" s="70"/>
      <c r="E34" s="70"/>
      <c r="F34" s="70"/>
      <c r="G34" s="70"/>
      <c r="H34" s="70"/>
    </row>
    <row r="35" customFormat="false" ht="15.75" hidden="false" customHeight="true" outlineLevel="0" collapsed="false">
      <c r="B35" s="71" t="s">
        <v>105</v>
      </c>
      <c r="C35" s="71"/>
      <c r="D35" s="71"/>
      <c r="E35" s="71"/>
      <c r="F35" s="71"/>
      <c r="G35" s="71"/>
      <c r="H35" s="71"/>
    </row>
    <row r="37" customFormat="false" ht="18" hidden="false" customHeight="true" outlineLevel="0" collapsed="false">
      <c r="B37" s="72" t="s">
        <v>106</v>
      </c>
      <c r="C37" s="73"/>
      <c r="D37" s="73"/>
      <c r="E37" s="73"/>
      <c r="F37" s="73"/>
      <c r="G37" s="73"/>
      <c r="H37" s="73"/>
    </row>
    <row r="38" customFormat="false" ht="21.75" hidden="false" customHeight="true" outlineLevel="0" collapsed="false">
      <c r="B38" s="12" t="s">
        <v>107</v>
      </c>
      <c r="C38" s="12" t="s">
        <v>108</v>
      </c>
      <c r="D38" s="12" t="s">
        <v>109</v>
      </c>
      <c r="E38" s="12" t="s">
        <v>110</v>
      </c>
      <c r="F38" s="12" t="s">
        <v>111</v>
      </c>
    </row>
    <row r="39" customFormat="false" ht="36" hidden="false" customHeight="true" outlineLevel="0" collapsed="false">
      <c r="B39" s="74" t="n">
        <f aca="false">SUM('📋 App Effort Detail'!AB8:AB36)</f>
        <v>0</v>
      </c>
      <c r="C39" s="74" t="n">
        <f aca="false">SUM('📋 App Effort Detail'!AC8:AC36)</f>
        <v>0</v>
      </c>
      <c r="D39" s="74" t="n">
        <f aca="false">SUM('📋 App Effort Detail'!AD8:AD36)</f>
        <v>0</v>
      </c>
      <c r="E39" s="74" t="n">
        <f aca="false">SUM('📋 App Effort Detail'!AE8:AE36)</f>
        <v>0</v>
      </c>
      <c r="F39" s="74" t="n">
        <f aca="false">SUM('📋 App Effort Detail'!AF8:AF36)</f>
        <v>0</v>
      </c>
    </row>
    <row r="41" customFormat="false" ht="18" hidden="false" customHeight="true" outlineLevel="0" collapsed="false">
      <c r="B41" s="75" t="s">
        <v>112</v>
      </c>
      <c r="C41" s="44"/>
      <c r="D41" s="44"/>
      <c r="E41" s="44"/>
      <c r="F41" s="44"/>
      <c r="G41" s="44"/>
      <c r="H41" s="44"/>
    </row>
    <row r="42" customFormat="false" ht="25.5" hidden="false" customHeight="true" outlineLevel="0" collapsed="false">
      <c r="B42" s="76" t="s">
        <v>113</v>
      </c>
      <c r="C42" s="77" t="s">
        <v>114</v>
      </c>
      <c r="D42" s="78" t="s">
        <v>115</v>
      </c>
      <c r="E42" s="20" t="s">
        <v>116</v>
      </c>
    </row>
    <row r="43" customFormat="false" ht="43.5" hidden="false" customHeight="true" outlineLevel="0" collapsed="false">
      <c r="B43" s="79" t="n">
        <f aca="false">SUM('📋 App Effort Detail'!AM8:AM36)</f>
        <v>0</v>
      </c>
      <c r="C43" s="80" t="n">
        <f aca="false">SUM('📋 App Effort Detail'!AN8:AN36)</f>
        <v>0</v>
      </c>
      <c r="D43" s="81" t="n">
        <f aca="false">SUM('📋 App Effort Detail'!AO8:AO36)</f>
        <v>0</v>
      </c>
      <c r="E43" s="82" t="n">
        <f aca="false">SUM('📋 App Effort Detail'!AM8:AM36)+SUM('📋 App Effort Detail'!AN8:AN36)+SUM('📋 App Effort Detail'!AO8:AO36)</f>
        <v>0</v>
      </c>
    </row>
    <row r="45" customFormat="false" ht="18" hidden="false" customHeight="true" outlineLevel="0" collapsed="false">
      <c r="B45" s="83" t="s">
        <v>117</v>
      </c>
      <c r="C45" s="84"/>
      <c r="D45" s="84"/>
      <c r="E45" s="84"/>
      <c r="F45" s="84"/>
      <c r="G45" s="84"/>
      <c r="H45" s="84"/>
    </row>
    <row r="46" customFormat="false" ht="21.75" hidden="false" customHeight="true" outlineLevel="0" collapsed="false">
      <c r="B46" s="12" t="s">
        <v>118</v>
      </c>
      <c r="C46" s="12" t="s">
        <v>119</v>
      </c>
      <c r="D46" s="12" t="s">
        <v>120</v>
      </c>
      <c r="E46" s="12" t="s">
        <v>121</v>
      </c>
      <c r="F46" s="12" t="s">
        <v>122</v>
      </c>
      <c r="G46" s="12" t="s">
        <v>123</v>
      </c>
    </row>
    <row r="47" customFormat="false" ht="36" hidden="false" customHeight="true" outlineLevel="0" collapsed="false">
      <c r="B47" s="85" t="n">
        <f aca="false">COUNTIF('✏️ SME Input'!U8:U36,"&lt;&gt;None")-COUNTIF('✏️ SME Input'!U8:U36,"")</f>
        <v>1</v>
      </c>
      <c r="C47" s="85" t="n">
        <f aca="false">SUM('✏️ SME Input'!S8:S36)</f>
        <v>0</v>
      </c>
      <c r="D47" s="85" t="n">
        <f aca="false">SUM('✏️ SME Input'!T8:T36)</f>
        <v>0</v>
      </c>
      <c r="E47" s="85" t="n">
        <f aca="false">COUNTIF('✏️ SME Input'!U8:U36,"Transactional")</f>
        <v>0</v>
      </c>
      <c r="F47" s="85" t="n">
        <f aca="false">COUNTIF('✏️ SME Input'!U8:U36,"Merge")+COUNTIF('✏️ SME Input'!U8:U36,"Snapshot")+COUNTIF('✏️ SME Input'!U8:U36,"Mixed")</f>
        <v>0</v>
      </c>
      <c r="G47" s="85" t="n">
        <f aca="false">COUNTIF('✏️ SME Input'!U8:U36,"None")</f>
        <v>0</v>
      </c>
    </row>
  </sheetData>
  <mergeCells count="9">
    <mergeCell ref="B1:H4"/>
    <mergeCell ref="B5:H5"/>
    <mergeCell ref="B7:H7"/>
    <mergeCell ref="B17:H17"/>
    <mergeCell ref="B21:H21"/>
    <mergeCell ref="B32:H32"/>
    <mergeCell ref="B33:H33"/>
    <mergeCell ref="B34:H34"/>
    <mergeCell ref="B35:H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A1:H5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8"/>
    <col collapsed="false" customWidth="true" hidden="false" outlineLevel="0" max="8" min="3" style="1" width="20"/>
  </cols>
  <sheetData>
    <row r="1" customFormat="false" ht="15" hidden="false" customHeight="true" outlineLevel="0" collapsed="false">
      <c r="A1" s="22"/>
      <c r="B1" s="22"/>
      <c r="C1" s="22"/>
      <c r="D1" s="22"/>
      <c r="E1" s="22"/>
      <c r="F1" s="22"/>
      <c r="G1" s="22"/>
      <c r="H1" s="22"/>
    </row>
    <row r="2" customFormat="false" ht="25.5" hidden="false" customHeight="true" outlineLevel="0" collapsed="false">
      <c r="A2" s="22"/>
      <c r="B2" s="86" t="s">
        <v>124</v>
      </c>
      <c r="C2" s="22"/>
      <c r="D2" s="22"/>
      <c r="E2" s="22"/>
      <c r="F2" s="22"/>
      <c r="G2" s="22"/>
      <c r="H2" s="22"/>
    </row>
    <row r="3" customFormat="false" ht="15" hidden="false" customHeight="true" outlineLevel="0" collapsed="false">
      <c r="A3" s="22"/>
      <c r="B3" s="22"/>
      <c r="C3" s="22"/>
      <c r="D3" s="22"/>
      <c r="E3" s="22"/>
      <c r="F3" s="22"/>
      <c r="G3" s="22"/>
      <c r="H3" s="22"/>
    </row>
    <row r="5" customFormat="false" ht="24" hidden="false" customHeight="true" outlineLevel="0" collapsed="false">
      <c r="B5" s="87" t="s">
        <v>125</v>
      </c>
      <c r="C5" s="88"/>
      <c r="D5" s="88"/>
      <c r="E5" s="88"/>
      <c r="F5" s="88"/>
      <c r="G5" s="88"/>
      <c r="H5" s="88"/>
    </row>
    <row r="6" customFormat="false" ht="15.75" hidden="false" customHeight="true" outlineLevel="0" collapsed="false">
      <c r="B6" s="89" t="s">
        <v>126</v>
      </c>
      <c r="C6" s="90"/>
      <c r="D6" s="90"/>
      <c r="E6" s="90"/>
      <c r="F6" s="90"/>
      <c r="G6" s="90"/>
      <c r="H6" s="90"/>
    </row>
    <row r="7" customFormat="false" ht="13.5" hidden="false" customHeight="true" outlineLevel="0" collapsed="false">
      <c r="B7" s="91" t="s">
        <v>127</v>
      </c>
      <c r="C7" s="92" t="n">
        <f aca="false">IFERROR(MATCH(C5,'📋 App Effort Detail'!$B$8:$B$36,0)+7,8)</f>
        <v>8</v>
      </c>
    </row>
    <row r="9" customFormat="false" ht="18" hidden="false" customHeight="true" outlineLevel="0" collapsed="false">
      <c r="B9" s="93" t="s">
        <v>128</v>
      </c>
      <c r="C9" s="93"/>
      <c r="D9" s="93"/>
      <c r="E9" s="93"/>
      <c r="F9" s="93"/>
      <c r="G9" s="93"/>
      <c r="H9" s="93"/>
    </row>
    <row r="10" customFormat="false" ht="18" hidden="false" customHeight="true" outlineLevel="0" collapsed="false">
      <c r="B10" s="56" t="s">
        <v>10</v>
      </c>
      <c r="C10" s="40" t="n">
        <f aca="false">IFERROR(INDEX('📋 App Effort Detail'!B:B,C7),0)</f>
        <v>0</v>
      </c>
      <c r="D10" s="40"/>
      <c r="E10" s="40"/>
      <c r="F10" s="40"/>
      <c r="G10" s="40"/>
      <c r="H10" s="40"/>
    </row>
    <row r="11" customFormat="false" ht="18" hidden="false" customHeight="true" outlineLevel="0" collapsed="false">
      <c r="B11" s="94" t="s">
        <v>129</v>
      </c>
      <c r="C11" s="95" t="str">
        <f aca="false">IFERROR(INDEX('📋 App Effort Detail'!C:C,C7),0)</f>
        <v/>
      </c>
      <c r="D11" s="95"/>
      <c r="E11" s="95"/>
      <c r="F11" s="95"/>
      <c r="G11" s="95"/>
      <c r="H11" s="95"/>
    </row>
    <row r="12" customFormat="false" ht="18" hidden="false" customHeight="true" outlineLevel="0" collapsed="false">
      <c r="B12" s="56" t="s">
        <v>130</v>
      </c>
      <c r="C12" s="40" t="n">
        <f aca="false">IFERROR(INDEX('📋 App Effort Detail'!D:D,C7),0)</f>
        <v>0</v>
      </c>
      <c r="D12" s="40"/>
      <c r="E12" s="40"/>
      <c r="F12" s="40"/>
      <c r="G12" s="40"/>
      <c r="H12" s="40"/>
    </row>
    <row r="13" customFormat="false" ht="18" hidden="false" customHeight="true" outlineLevel="0" collapsed="false">
      <c r="B13" s="94" t="s">
        <v>131</v>
      </c>
      <c r="C13" s="96" t="n">
        <f aca="false">IFERROR(INDEX('📋 App Effort Detail'!Q:Q,C7),0)</f>
        <v>0</v>
      </c>
      <c r="D13" s="96"/>
      <c r="E13" s="96"/>
      <c r="F13" s="96"/>
      <c r="G13" s="96"/>
      <c r="H13" s="96"/>
    </row>
    <row r="14" customFormat="false" ht="18" hidden="false" customHeight="true" outlineLevel="0" collapsed="false">
      <c r="B14" s="56" t="s">
        <v>132</v>
      </c>
      <c r="C14" s="97" t="n">
        <f aca="false">IFERROR(INDEX('📋 App Effort Detail'!O:O,C7),0)</f>
        <v>0</v>
      </c>
      <c r="D14" s="97"/>
      <c r="E14" s="97"/>
      <c r="F14" s="97"/>
      <c r="G14" s="97"/>
      <c r="H14" s="97"/>
    </row>
    <row r="15" customFormat="false" ht="18" hidden="false" customHeight="true" outlineLevel="0" collapsed="false">
      <c r="B15" s="94" t="s">
        <v>49</v>
      </c>
      <c r="C15" s="95" t="n">
        <f aca="false">IFERROR(INDEX('📋 App Effort Detail'!P:P,C7),0)</f>
        <v>0</v>
      </c>
      <c r="D15" s="95"/>
      <c r="E15" s="95"/>
      <c r="F15" s="95"/>
      <c r="G15" s="95"/>
      <c r="H15" s="95"/>
    </row>
    <row r="17" customFormat="false" ht="18" hidden="false" customHeight="true" outlineLevel="0" collapsed="false">
      <c r="B17" s="98" t="s">
        <v>37</v>
      </c>
      <c r="C17" s="98"/>
      <c r="D17" s="98"/>
      <c r="E17" s="98"/>
      <c r="F17" s="98"/>
      <c r="G17" s="98"/>
      <c r="H17" s="98"/>
    </row>
    <row r="18" customFormat="false" ht="16.5" hidden="false" customHeight="true" outlineLevel="0" collapsed="false">
      <c r="B18" s="56" t="s">
        <v>44</v>
      </c>
      <c r="C18" s="99" t="n">
        <f aca="false">IFERROR(INDEX('📋 App Effort Detail'!E:E,C7),0)</f>
        <v>0</v>
      </c>
      <c r="D18" s="99"/>
      <c r="E18" s="99"/>
      <c r="F18" s="99"/>
      <c r="G18" s="99"/>
      <c r="H18" s="99"/>
    </row>
    <row r="19" customFormat="false" ht="16.5" hidden="false" customHeight="true" outlineLevel="0" collapsed="false">
      <c r="B19" s="94" t="s">
        <v>133</v>
      </c>
      <c r="C19" s="100" t="n">
        <f aca="false">IFERROR(INDEX('📋 App Effort Detail'!F:F,C7),0)</f>
        <v>0</v>
      </c>
      <c r="D19" s="100"/>
      <c r="E19" s="100"/>
      <c r="F19" s="100"/>
      <c r="G19" s="100"/>
      <c r="H19" s="100"/>
    </row>
    <row r="20" customFormat="false" ht="16.5" hidden="false" customHeight="true" outlineLevel="0" collapsed="false">
      <c r="B20" s="56" t="s">
        <v>46</v>
      </c>
      <c r="C20" s="99" t="n">
        <f aca="false">IFERROR(INDEX('📋 App Effort Detail'!G:G,C7),0)</f>
        <v>0</v>
      </c>
      <c r="D20" s="99"/>
      <c r="E20" s="99"/>
      <c r="F20" s="99"/>
      <c r="G20" s="99"/>
      <c r="H20" s="99"/>
    </row>
    <row r="21" customFormat="false" ht="16.5" hidden="false" customHeight="true" outlineLevel="0" collapsed="false">
      <c r="B21" s="94" t="s">
        <v>47</v>
      </c>
      <c r="C21" s="100" t="n">
        <f aca="false">IFERROR(INDEX('📋 App Effort Detail'!H:H,C7),0)</f>
        <v>0</v>
      </c>
      <c r="D21" s="100"/>
      <c r="E21" s="100"/>
      <c r="F21" s="100"/>
      <c r="G21" s="100"/>
      <c r="H21" s="100"/>
    </row>
    <row r="22" customFormat="false" ht="16.5" hidden="false" customHeight="true" outlineLevel="0" collapsed="false">
      <c r="B22" s="56" t="s">
        <v>134</v>
      </c>
      <c r="C22" s="99" t="n">
        <f aca="false">IFERROR(INDEX('📋 App Effort Detail'!I:I,C7),0)</f>
        <v>0</v>
      </c>
      <c r="D22" s="99"/>
      <c r="E22" s="99"/>
      <c r="F22" s="99"/>
      <c r="G22" s="99"/>
      <c r="H22" s="99"/>
    </row>
    <row r="23" customFormat="false" ht="16.5" hidden="false" customHeight="true" outlineLevel="0" collapsed="false">
      <c r="B23" s="94" t="s">
        <v>135</v>
      </c>
      <c r="C23" s="100" t="n">
        <f aca="false">IFERROR(INDEX('📋 App Effort Detail'!J:J,C7),0)</f>
        <v>0</v>
      </c>
      <c r="D23" s="100"/>
      <c r="E23" s="100"/>
      <c r="F23" s="100"/>
      <c r="G23" s="100"/>
      <c r="H23" s="100"/>
    </row>
    <row r="24" customFormat="false" ht="16.5" hidden="false" customHeight="true" outlineLevel="0" collapsed="false">
      <c r="B24" s="56" t="s">
        <v>136</v>
      </c>
      <c r="C24" s="99" t="n">
        <f aca="false">IFERROR(INDEX('📋 App Effort Detail'!K:K,C7),0)</f>
        <v>0</v>
      </c>
      <c r="D24" s="99"/>
      <c r="E24" s="99"/>
      <c r="F24" s="99"/>
      <c r="G24" s="99"/>
      <c r="H24" s="99"/>
    </row>
    <row r="25" customFormat="false" ht="16.5" hidden="false" customHeight="true" outlineLevel="0" collapsed="false">
      <c r="B25" s="94" t="s">
        <v>137</v>
      </c>
      <c r="C25" s="100" t="n">
        <f aca="false">IFERROR(INDEX('📋 App Effort Detail'!L:L,C7),0)</f>
        <v>0</v>
      </c>
      <c r="D25" s="100"/>
      <c r="E25" s="100"/>
      <c r="F25" s="100"/>
      <c r="G25" s="100"/>
      <c r="H25" s="100"/>
    </row>
    <row r="26" customFormat="false" ht="16.5" hidden="false" customHeight="true" outlineLevel="0" collapsed="false">
      <c r="B26" s="56" t="s">
        <v>138</v>
      </c>
      <c r="C26" s="99" t="n">
        <f aca="false">IFERROR(INDEX('📋 App Effort Detail'!M:M,C7),0)</f>
        <v>0</v>
      </c>
      <c r="D26" s="99"/>
      <c r="E26" s="99"/>
      <c r="F26" s="99"/>
      <c r="G26" s="99"/>
      <c r="H26" s="99"/>
    </row>
    <row r="27" customFormat="false" ht="16.5" hidden="false" customHeight="true" outlineLevel="0" collapsed="false">
      <c r="B27" s="94" t="s">
        <v>139</v>
      </c>
      <c r="C27" s="100" t="n">
        <f aca="false">IFERROR(INDEX('📋 App Effort Detail'!N:N,C7),0)</f>
        <v>0</v>
      </c>
      <c r="D27" s="100"/>
      <c r="E27" s="100"/>
      <c r="F27" s="100"/>
      <c r="G27" s="100"/>
      <c r="H27" s="100"/>
    </row>
    <row r="29" customFormat="false" ht="18" hidden="false" customHeight="true" outlineLevel="0" collapsed="false">
      <c r="B29" s="101" t="s">
        <v>140</v>
      </c>
      <c r="C29" s="101"/>
      <c r="D29" s="101"/>
      <c r="E29" s="101"/>
      <c r="F29" s="101"/>
      <c r="G29" s="101"/>
      <c r="H29" s="101"/>
    </row>
    <row r="30" customFormat="false" ht="19.5" hidden="false" customHeight="true" outlineLevel="0" collapsed="false">
      <c r="B30" s="12" t="s">
        <v>90</v>
      </c>
      <c r="C30" s="12" t="s">
        <v>84</v>
      </c>
      <c r="D30" s="12" t="s">
        <v>91</v>
      </c>
      <c r="E30" s="12" t="s">
        <v>85</v>
      </c>
      <c r="F30" s="12" t="s">
        <v>141</v>
      </c>
    </row>
    <row r="31" customFormat="false" ht="18" hidden="false" customHeight="true" outlineLevel="0" collapsed="false">
      <c r="B31" s="56" t="s">
        <v>94</v>
      </c>
      <c r="C31" s="102" t="n">
        <f aca="false">IFERROR(INDEX('📋 App Effort Detail'!U:U,C7),0)</f>
        <v>0</v>
      </c>
      <c r="D31" s="58" t="n">
        <f aca="false">'📊 Dashboard'!C10</f>
        <v>30</v>
      </c>
      <c r="E31" s="103" t="n">
        <f aca="false">C31*(1-D31/100)</f>
        <v>0</v>
      </c>
      <c r="F31" s="34" t="n">
        <f aca="false">E31*(1+'📊 Dashboard'!C14/100)</f>
        <v>0</v>
      </c>
      <c r="G31" s="25"/>
      <c r="H31" s="25"/>
    </row>
    <row r="32" customFormat="false" ht="18" hidden="false" customHeight="true" outlineLevel="0" collapsed="false">
      <c r="B32" s="62" t="s">
        <v>142</v>
      </c>
      <c r="C32" s="104" t="n">
        <f aca="false">IFERROR(INDEX('📋 App Effort Detail'!V:V,C7),0)</f>
        <v>0</v>
      </c>
      <c r="D32" s="58" t="n">
        <f aca="false">'📊 Dashboard'!C10</f>
        <v>30</v>
      </c>
      <c r="E32" s="103" t="n">
        <f aca="false">C32*(1-D32/100)</f>
        <v>0</v>
      </c>
      <c r="F32" s="34" t="n">
        <f aca="false">E32*(1+'📊 Dashboard'!C14/100)</f>
        <v>0</v>
      </c>
      <c r="G32" s="25"/>
      <c r="H32" s="25"/>
    </row>
    <row r="33" customFormat="false" ht="18" hidden="false" customHeight="true" outlineLevel="0" collapsed="false">
      <c r="B33" s="56" t="s">
        <v>143</v>
      </c>
      <c r="C33" s="102" t="n">
        <f aca="false">IFERROR(INDEX('📋 App Effort Detail'!W:W,C7),0)</f>
        <v>0</v>
      </c>
      <c r="D33" s="58" t="n">
        <f aca="false">'📊 Dashboard'!C11</f>
        <v>25</v>
      </c>
      <c r="E33" s="103" t="n">
        <f aca="false">C33*(1-D33/100)</f>
        <v>0</v>
      </c>
      <c r="F33" s="34" t="n">
        <f aca="false">E33*(1+'📊 Dashboard'!C14/100)</f>
        <v>0</v>
      </c>
      <c r="G33" s="25"/>
      <c r="H33" s="25"/>
    </row>
    <row r="34" customFormat="false" ht="18" hidden="false" customHeight="true" outlineLevel="0" collapsed="false">
      <c r="B34" s="62" t="s">
        <v>97</v>
      </c>
      <c r="C34" s="104" t="n">
        <f aca="false">IFERROR(INDEX('📋 App Effort Detail'!X:X,C7),0)</f>
        <v>0</v>
      </c>
      <c r="D34" s="58" t="n">
        <f aca="false">'📊 Dashboard'!C12</f>
        <v>20</v>
      </c>
      <c r="E34" s="103" t="n">
        <f aca="false">C34*(1-D34/100)</f>
        <v>0</v>
      </c>
      <c r="F34" s="34" t="n">
        <f aca="false">E34*(1+'📊 Dashboard'!C14/100)</f>
        <v>0</v>
      </c>
      <c r="G34" s="25"/>
      <c r="H34" s="25"/>
    </row>
    <row r="35" customFormat="false" ht="18" hidden="false" customHeight="true" outlineLevel="0" collapsed="false">
      <c r="B35" s="56" t="s">
        <v>98</v>
      </c>
      <c r="C35" s="102" t="n">
        <f aca="false">IFERROR(INDEX('📋 App Effort Detail'!Y:Y,C7),0)</f>
        <v>0</v>
      </c>
      <c r="D35" s="58" t="n">
        <f aca="false">'📊 Dashboard'!C10</f>
        <v>30</v>
      </c>
      <c r="E35" s="103" t="n">
        <f aca="false">C35*(1-D35/100)</f>
        <v>0</v>
      </c>
      <c r="F35" s="34" t="n">
        <f aca="false">E35*(1+'📊 Dashboard'!C14/100)</f>
        <v>0</v>
      </c>
      <c r="G35" s="25"/>
      <c r="H35" s="25"/>
    </row>
    <row r="36" customFormat="false" ht="18" hidden="false" customHeight="true" outlineLevel="0" collapsed="false">
      <c r="B36" s="62" t="s">
        <v>99</v>
      </c>
      <c r="C36" s="104" t="n">
        <f aca="false">IFERROR(INDEX('📋 App Effort Detail'!Z:Z,C7),0)</f>
        <v>0</v>
      </c>
      <c r="D36" s="58" t="n">
        <f aca="false">'📊 Dashboard'!C13</f>
        <v>20</v>
      </c>
      <c r="E36" s="103" t="n">
        <f aca="false">C36*(1-D36/100)</f>
        <v>0</v>
      </c>
      <c r="F36" s="34" t="n">
        <f aca="false">E36*(1+'📊 Dashboard'!C14/100)</f>
        <v>0</v>
      </c>
      <c r="G36" s="25"/>
      <c r="H36" s="25"/>
    </row>
    <row r="37" customFormat="false" ht="18" hidden="false" customHeight="true" outlineLevel="0" collapsed="false">
      <c r="B37" s="56" t="s">
        <v>100</v>
      </c>
      <c r="C37" s="102" t="n">
        <f aca="false">IFERROR(INDEX('📋 App Effort Detail'!AA:AA,C7),0)</f>
        <v>0</v>
      </c>
      <c r="D37" s="58" t="n">
        <f aca="false">'📊 Dashboard'!C10</f>
        <v>30</v>
      </c>
      <c r="E37" s="103" t="n">
        <f aca="false">C37*(1-D37/100)</f>
        <v>0</v>
      </c>
      <c r="F37" s="34" t="n">
        <f aca="false">E37*(1+'📊 Dashboard'!C14/100)</f>
        <v>0</v>
      </c>
      <c r="G37" s="25"/>
      <c r="H37" s="25"/>
    </row>
    <row r="38" customFormat="false" ht="21.75" hidden="false" customHeight="true" outlineLevel="0" collapsed="false">
      <c r="B38" s="20" t="s">
        <v>144</v>
      </c>
      <c r="C38" s="105" t="n">
        <f aca="false">SUM(C31:C37)</f>
        <v>0</v>
      </c>
      <c r="D38" s="44"/>
      <c r="E38" s="105" t="n">
        <f aca="false">SUM(E31:E37)</f>
        <v>0</v>
      </c>
      <c r="F38" s="105" t="n">
        <f aca="false">SUM(F31:F37)</f>
        <v>0</v>
      </c>
      <c r="G38" s="44"/>
      <c r="H38" s="44"/>
    </row>
    <row r="40" customFormat="false" ht="18" hidden="false" customHeight="true" outlineLevel="0" collapsed="false">
      <c r="B40" s="93" t="s">
        <v>145</v>
      </c>
      <c r="C40" s="93"/>
      <c r="D40" s="93"/>
      <c r="E40" s="93"/>
      <c r="F40" s="93"/>
      <c r="G40" s="93"/>
      <c r="H40" s="93"/>
    </row>
    <row r="41" customFormat="false" ht="21.75" hidden="false" customHeight="true" outlineLevel="0" collapsed="false">
      <c r="B41" s="54" t="s">
        <v>84</v>
      </c>
      <c r="C41" s="54" t="s">
        <v>91</v>
      </c>
      <c r="D41" s="54" t="s">
        <v>85</v>
      </c>
      <c r="E41" s="54" t="s">
        <v>92</v>
      </c>
      <c r="F41" s="54" t="s">
        <v>88</v>
      </c>
      <c r="G41" s="54" t="s">
        <v>146</v>
      </c>
    </row>
    <row r="42" customFormat="false" ht="36" hidden="false" customHeight="true" outlineLevel="0" collapsed="false">
      <c r="B42" s="74" t="n">
        <f aca="false">IFERROR(INDEX('📋 App Effort Detail'!R:R,C7),0)</f>
        <v>0</v>
      </c>
      <c r="C42" s="106" t="n">
        <f aca="false">IFERROR(1-IFERROR(INDEX('📋 App Effort Detail'!S:S,C7),0)/IFERROR(INDEX('📋 App Effort Detail'!R:R,C7),0),0)</f>
        <v>0</v>
      </c>
      <c r="D42" s="74" t="n">
        <f aca="false">IFERROR(INDEX('📋 App Effort Detail'!S:S,C7),0)</f>
        <v>0</v>
      </c>
      <c r="E42" s="74" t="n">
        <f aca="false">IFERROR(INDEX('📋 App Effort Detail'!T:T,C7),0)</f>
        <v>0</v>
      </c>
      <c r="F42" s="74" t="n">
        <f aca="false">IFERROR(IFERROR(INDEX('📋 App Effort Detail'!T:T,C7),0)/'📊 Dashboard'!C8,0)</f>
        <v>0</v>
      </c>
      <c r="G42" s="107" t="str">
        <f aca="false">IFERROR(INDEX('📋 App Effort Detail'!C:C,C7),0)</f>
        <v/>
      </c>
    </row>
    <row r="44" customFormat="false" ht="18" hidden="false" customHeight="true" outlineLevel="0" collapsed="false">
      <c r="B44" s="72" t="s">
        <v>147</v>
      </c>
      <c r="C44" s="73"/>
      <c r="D44" s="73"/>
      <c r="E44" s="73"/>
      <c r="F44" s="73"/>
      <c r="G44" s="73"/>
      <c r="H44" s="73"/>
    </row>
    <row r="45" customFormat="false" ht="18" hidden="false" customHeight="true" outlineLevel="0" collapsed="false">
      <c r="B45" s="12" t="s">
        <v>148</v>
      </c>
      <c r="C45" s="12" t="s">
        <v>108</v>
      </c>
      <c r="D45" s="12" t="s">
        <v>109</v>
      </c>
      <c r="E45" s="12" t="s">
        <v>110</v>
      </c>
      <c r="F45" s="12" t="s">
        <v>149</v>
      </c>
    </row>
    <row r="46" customFormat="false" ht="16.5" hidden="false" customHeight="true" outlineLevel="0" collapsed="false">
      <c r="B46" s="56" t="s">
        <v>150</v>
      </c>
      <c r="C46" s="103" t="n">
        <f aca="false">IFERROR(INDEX('📋 App Effort Detail'!AB:AB,C7),0)</f>
        <v>0</v>
      </c>
      <c r="D46" s="108" t="s">
        <v>151</v>
      </c>
      <c r="E46" s="108" t="s">
        <v>151</v>
      </c>
      <c r="F46" s="108" t="s">
        <v>151</v>
      </c>
    </row>
    <row r="47" customFormat="false" ht="16.5" hidden="false" customHeight="true" outlineLevel="0" collapsed="false">
      <c r="B47" s="56" t="s">
        <v>152</v>
      </c>
      <c r="C47" s="103" t="n">
        <f aca="false">IFERROR(INDEX('📋 App Effort Detail'!AC:AC,C7),0)</f>
        <v>0</v>
      </c>
      <c r="D47" s="103" t="n">
        <f aca="false">IFERROR(INDEX('📋 App Effort Detail'!AD:AD,C7),0)</f>
        <v>0</v>
      </c>
      <c r="E47" s="103" t="n">
        <f aca="false">IFERROR(INDEX('📋 App Effort Detail'!AE:AE,C7),0)</f>
        <v>0</v>
      </c>
      <c r="F47" s="103" t="n">
        <f aca="false">IFERROR(INDEX('📋 App Effort Detail'!AF:AF,C7),0)</f>
        <v>0</v>
      </c>
    </row>
    <row r="49" customFormat="false" ht="18" hidden="false" customHeight="true" outlineLevel="0" collapsed="false">
      <c r="B49" s="75" t="s">
        <v>153</v>
      </c>
      <c r="C49" s="44"/>
      <c r="D49" s="44"/>
      <c r="E49" s="44"/>
      <c r="F49" s="44"/>
      <c r="G49" s="44"/>
      <c r="H49" s="44"/>
    </row>
    <row r="50" customFormat="false" ht="18" hidden="false" customHeight="true" outlineLevel="0" collapsed="false">
      <c r="B50" s="12" t="s">
        <v>154</v>
      </c>
      <c r="C50" s="109" t="s">
        <v>108</v>
      </c>
      <c r="D50" s="54" t="s">
        <v>109</v>
      </c>
      <c r="E50" s="110" t="s">
        <v>110</v>
      </c>
    </row>
    <row r="51" customFormat="false" ht="18" hidden="false" customHeight="true" outlineLevel="0" collapsed="false">
      <c r="B51" s="111" t="s">
        <v>155</v>
      </c>
      <c r="C51" s="36" t="n">
        <f aca="false">IFERROR(INDEX('📋 App Effort Detail'!AG:AG,C7),0)</f>
        <v>0</v>
      </c>
      <c r="D51" s="36" t="n">
        <f aca="false">IFERROR(INDEX('📋 App Effort Detail'!AH:AH,C7),0)</f>
        <v>0</v>
      </c>
      <c r="E51" s="36" t="n">
        <f aca="false">IFERROR(INDEX('📋 App Effort Detail'!AI:AI,C7),0)</f>
        <v>0</v>
      </c>
    </row>
    <row r="52" customFormat="false" ht="18" hidden="false" customHeight="true" outlineLevel="0" collapsed="false">
      <c r="B52" s="111" t="s">
        <v>156</v>
      </c>
      <c r="C52" s="36" t="n">
        <f aca="false">IFERROR(INDEX('📋 App Effort Detail'!AJ:AJ,C7),0)</f>
        <v>0</v>
      </c>
      <c r="D52" s="36" t="n">
        <f aca="false">IFERROR(INDEX('📋 App Effort Detail'!AK:AK,C7),0)</f>
        <v>0</v>
      </c>
      <c r="E52" s="36" t="n">
        <f aca="false">IFERROR(INDEX('📋 App Effort Detail'!AL:AL,C7),0)</f>
        <v>0</v>
      </c>
    </row>
    <row r="53" customFormat="false" ht="18" hidden="false" customHeight="true" outlineLevel="0" collapsed="false">
      <c r="B53" s="112" t="s">
        <v>157</v>
      </c>
      <c r="C53" s="38" t="n">
        <f aca="false">IFERROR(INDEX('📋 App Effort Detail'!AM:AM,C7),0)</f>
        <v>0</v>
      </c>
      <c r="D53" s="35" t="n">
        <f aca="false">IFERROR(INDEX('📋 App Effort Detail'!AN:AN,C7),0)</f>
        <v>0</v>
      </c>
      <c r="E53" s="39" t="n">
        <f aca="false">IFERROR(INDEX('📋 App Effort Detail'!AO:AO,C7),0)</f>
        <v>0</v>
      </c>
    </row>
    <row r="55" customFormat="false" ht="18" hidden="false" customHeight="true" outlineLevel="0" collapsed="false">
      <c r="B55" s="83" t="s">
        <v>158</v>
      </c>
      <c r="C55" s="84"/>
      <c r="D55" s="84"/>
      <c r="E55" s="84"/>
      <c r="F55" s="84"/>
      <c r="G55" s="84"/>
      <c r="H55" s="84"/>
    </row>
    <row r="56" customFormat="false" ht="16.5" hidden="false" customHeight="true" outlineLevel="0" collapsed="false">
      <c r="B56" s="56" t="s">
        <v>159</v>
      </c>
      <c r="C56" s="113" t="str">
        <f aca="false">IFERROR(INDEX('✏️ SME Input'!U:U,C7-8+8),"")</f>
        <v>⬆ ENTER</v>
      </c>
      <c r="D56" s="113"/>
      <c r="E56" s="113"/>
      <c r="F56" s="113"/>
      <c r="G56" s="113"/>
      <c r="H56" s="113"/>
    </row>
    <row r="57" customFormat="false" ht="16.5" hidden="false" customHeight="true" outlineLevel="0" collapsed="false">
      <c r="B57" s="114" t="s">
        <v>160</v>
      </c>
      <c r="C57" s="115" t="str">
        <f aca="false">IFERROR(INDEX('✏️ SME Input'!S:S,C7-8+8),0)</f>
        <v>▼ Select</v>
      </c>
      <c r="D57" s="115"/>
      <c r="E57" s="115"/>
      <c r="F57" s="115"/>
      <c r="G57" s="115"/>
      <c r="H57" s="115"/>
    </row>
    <row r="58" customFormat="false" ht="16.5" hidden="false" customHeight="true" outlineLevel="0" collapsed="false">
      <c r="B58" s="56" t="s">
        <v>161</v>
      </c>
      <c r="C58" s="116" t="str">
        <f aca="false">IFERROR(INDEX('✏️ SME Input'!T:T,C7-8+8),0)</f>
        <v>⬆ ENTER</v>
      </c>
      <c r="D58" s="116"/>
      <c r="E58" s="116"/>
      <c r="F58" s="116"/>
      <c r="G58" s="116"/>
      <c r="H58" s="116"/>
    </row>
  </sheetData>
  <mergeCells count="25">
    <mergeCell ref="C5:H5"/>
    <mergeCell ref="C6:H6"/>
    <mergeCell ref="B9:H9"/>
    <mergeCell ref="C10:H10"/>
    <mergeCell ref="C11:H11"/>
    <mergeCell ref="C12:H12"/>
    <mergeCell ref="C13:H13"/>
    <mergeCell ref="C14:H14"/>
    <mergeCell ref="C15:H15"/>
    <mergeCell ref="B17:H17"/>
    <mergeCell ref="C18:H18"/>
    <mergeCell ref="C19:H19"/>
    <mergeCell ref="C20:H20"/>
    <mergeCell ref="C21:H21"/>
    <mergeCell ref="C22:H22"/>
    <mergeCell ref="C23:H23"/>
    <mergeCell ref="C24:H24"/>
    <mergeCell ref="C25:H25"/>
    <mergeCell ref="C26:H26"/>
    <mergeCell ref="C27:H27"/>
    <mergeCell ref="B29:H29"/>
    <mergeCell ref="B40:H40"/>
    <mergeCell ref="C56:H56"/>
    <mergeCell ref="C57:H57"/>
    <mergeCell ref="C58:H58"/>
  </mergeCells>
  <dataValidations count="1">
    <dataValidation allowBlank="true" errorStyle="stop" operator="between" showDropDown="false" showErrorMessage="false" showInputMessage="false" sqref="C5" type="list">
      <formula1>'📋 App Effort Detail'!$B$8:$B$36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75623"/>
    <pageSetUpPr fitToPage="false"/>
  </sheetPr>
  <dimension ref="A1:L5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2"/>
    <col collapsed="false" customWidth="true" hidden="false" outlineLevel="0" max="11" min="3" style="1" width="13"/>
  </cols>
  <sheetData>
    <row r="1" customFormat="false" ht="15" hidden="false" customHeight="true" outlineLevel="0" collapsed="false">
      <c r="A1" s="22"/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</row>
    <row r="2" customFormat="false" ht="25.5" hidden="false" customHeight="true" outlineLevel="0" collapsed="false">
      <c r="A2" s="22"/>
      <c r="B2" s="86"/>
      <c r="C2" s="22"/>
      <c r="D2" s="22"/>
      <c r="E2" s="22"/>
      <c r="F2" s="22"/>
      <c r="G2" s="22"/>
      <c r="H2" s="22"/>
      <c r="I2" s="22"/>
      <c r="J2" s="22"/>
      <c r="K2" s="22"/>
      <c r="L2" s="22"/>
    </row>
    <row r="3" customFormat="false" ht="15" hidden="false" customHeight="true" outlineLevel="0" collapsed="false">
      <c r="A3" s="22"/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</row>
    <row r="5" customFormat="false" ht="19.5" hidden="false" customHeight="true" outlineLevel="0" collapsed="false">
      <c r="B5" s="20" t="s">
        <v>162</v>
      </c>
      <c r="C5" s="20" t="s">
        <v>163</v>
      </c>
      <c r="D5" s="20" t="s">
        <v>164</v>
      </c>
      <c r="E5" s="20" t="s">
        <v>165</v>
      </c>
      <c r="F5" s="20" t="s">
        <v>166</v>
      </c>
      <c r="G5" s="20" t="s">
        <v>167</v>
      </c>
      <c r="H5" s="20" t="s">
        <v>168</v>
      </c>
      <c r="I5" s="20" t="s">
        <v>169</v>
      </c>
      <c r="J5" s="20" t="s">
        <v>170</v>
      </c>
      <c r="K5" s="20" t="s">
        <v>171</v>
      </c>
    </row>
    <row r="6" customFormat="false" ht="18" hidden="false" customHeight="true" outlineLevel="0" collapsed="false">
      <c r="B6" s="117" t="s">
        <v>172</v>
      </c>
      <c r="C6" s="117"/>
      <c r="D6" s="117"/>
      <c r="E6" s="117"/>
      <c r="F6" s="117"/>
      <c r="G6" s="117"/>
      <c r="H6" s="117"/>
      <c r="I6" s="117"/>
      <c r="J6" s="117"/>
      <c r="K6" s="117"/>
      <c r="L6" s="117"/>
    </row>
    <row r="7" customFormat="false" ht="15.75" hidden="false" customHeight="true" outlineLevel="0" collapsed="false">
      <c r="B7" s="118" t="s">
        <v>173</v>
      </c>
      <c r="C7" s="119" t="s">
        <v>174</v>
      </c>
      <c r="D7" s="119" t="s">
        <v>174</v>
      </c>
      <c r="E7" s="120"/>
      <c r="F7" s="120"/>
      <c r="G7" s="120"/>
      <c r="H7" s="120"/>
      <c r="I7" s="120"/>
      <c r="J7" s="120"/>
      <c r="K7" s="120"/>
    </row>
    <row r="8" customFormat="false" ht="15.75" hidden="false" customHeight="true" outlineLevel="0" collapsed="false">
      <c r="B8" s="118" t="s">
        <v>175</v>
      </c>
      <c r="C8" s="119" t="s">
        <v>174</v>
      </c>
      <c r="D8" s="120"/>
      <c r="E8" s="120"/>
      <c r="F8" s="120"/>
      <c r="G8" s="120"/>
      <c r="H8" s="120"/>
      <c r="I8" s="120"/>
      <c r="J8" s="120"/>
      <c r="K8" s="120"/>
    </row>
    <row r="9" customFormat="false" ht="15.75" hidden="false" customHeight="true" outlineLevel="0" collapsed="false">
      <c r="B9" s="118" t="s">
        <v>176</v>
      </c>
      <c r="C9" s="119" t="s">
        <v>174</v>
      </c>
      <c r="D9" s="119" t="s">
        <v>174</v>
      </c>
      <c r="E9" s="120"/>
      <c r="F9" s="120"/>
      <c r="G9" s="120"/>
      <c r="H9" s="120"/>
      <c r="I9" s="120"/>
      <c r="J9" s="120"/>
      <c r="K9" s="120"/>
    </row>
    <row r="10" customFormat="false" ht="15.75" hidden="false" customHeight="true" outlineLevel="0" collapsed="false">
      <c r="B10" s="118" t="s">
        <v>177</v>
      </c>
      <c r="C10" s="119" t="s">
        <v>174</v>
      </c>
      <c r="D10" s="119" t="s">
        <v>174</v>
      </c>
      <c r="E10" s="120"/>
      <c r="F10" s="120"/>
      <c r="G10" s="120"/>
      <c r="H10" s="120"/>
      <c r="I10" s="120"/>
      <c r="J10" s="120"/>
      <c r="K10" s="120"/>
    </row>
    <row r="11" customFormat="false" ht="15.75" hidden="false" customHeight="true" outlineLevel="0" collapsed="false">
      <c r="B11" s="118" t="s">
        <v>178</v>
      </c>
      <c r="C11" s="119" t="s">
        <v>174</v>
      </c>
      <c r="D11" s="119" t="s">
        <v>174</v>
      </c>
      <c r="E11" s="120"/>
      <c r="F11" s="120"/>
      <c r="G11" s="120"/>
      <c r="H11" s="120"/>
      <c r="I11" s="120"/>
      <c r="J11" s="120"/>
      <c r="K11" s="120"/>
    </row>
    <row r="12" customFormat="false" ht="15.75" hidden="false" customHeight="true" outlineLevel="0" collapsed="false">
      <c r="B12" s="118" t="s">
        <v>179</v>
      </c>
      <c r="C12" s="119" t="s">
        <v>174</v>
      </c>
      <c r="D12" s="119" t="s">
        <v>174</v>
      </c>
      <c r="E12" s="120"/>
      <c r="F12" s="120"/>
      <c r="G12" s="120"/>
      <c r="H12" s="120"/>
      <c r="I12" s="120"/>
      <c r="J12" s="120"/>
      <c r="K12" s="120"/>
    </row>
    <row r="13" customFormat="false" ht="15.75" hidden="false" customHeight="true" outlineLevel="0" collapsed="false">
      <c r="B13" s="118" t="s">
        <v>180</v>
      </c>
      <c r="C13" s="119" t="s">
        <v>174</v>
      </c>
      <c r="D13" s="119" t="s">
        <v>174</v>
      </c>
      <c r="E13" s="120"/>
      <c r="F13" s="120"/>
      <c r="G13" s="120"/>
      <c r="H13" s="120"/>
      <c r="I13" s="120"/>
      <c r="J13" s="120"/>
      <c r="K13" s="120"/>
    </row>
    <row r="14" customFormat="false" ht="4.5" hidden="false" customHeight="true" outlineLevel="0" collapsed="false"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</row>
    <row r="15" customFormat="false" ht="18" hidden="false" customHeight="true" outlineLevel="0" collapsed="false">
      <c r="B15" s="121" t="s">
        <v>181</v>
      </c>
      <c r="C15" s="121"/>
      <c r="D15" s="121"/>
      <c r="E15" s="121"/>
      <c r="F15" s="121"/>
      <c r="G15" s="121"/>
      <c r="H15" s="121"/>
      <c r="I15" s="121"/>
      <c r="J15" s="121"/>
      <c r="K15" s="121"/>
      <c r="L15" s="121"/>
    </row>
    <row r="16" customFormat="false" ht="15.75" hidden="false" customHeight="true" outlineLevel="0" collapsed="false">
      <c r="B16" s="118" t="s">
        <v>182</v>
      </c>
      <c r="C16" s="120"/>
      <c r="D16" s="122" t="s">
        <v>174</v>
      </c>
      <c r="E16" s="122" t="s">
        <v>174</v>
      </c>
      <c r="F16" s="120"/>
      <c r="G16" s="120"/>
      <c r="H16" s="120"/>
      <c r="I16" s="120"/>
      <c r="J16" s="120"/>
      <c r="K16" s="120"/>
    </row>
    <row r="17" customFormat="false" ht="15.75" hidden="false" customHeight="true" outlineLevel="0" collapsed="false">
      <c r="B17" s="118" t="s">
        <v>183</v>
      </c>
      <c r="C17" s="120"/>
      <c r="D17" s="122" t="s">
        <v>174</v>
      </c>
      <c r="E17" s="122" t="s">
        <v>174</v>
      </c>
      <c r="F17" s="120"/>
      <c r="G17" s="120"/>
      <c r="H17" s="120"/>
      <c r="I17" s="120"/>
      <c r="J17" s="120"/>
      <c r="K17" s="120"/>
    </row>
    <row r="18" customFormat="false" ht="15.75" hidden="false" customHeight="true" outlineLevel="0" collapsed="false">
      <c r="B18" s="118" t="s">
        <v>184</v>
      </c>
      <c r="C18" s="120"/>
      <c r="D18" s="120"/>
      <c r="E18" s="122" t="s">
        <v>174</v>
      </c>
      <c r="F18" s="122" t="s">
        <v>174</v>
      </c>
      <c r="G18" s="120"/>
      <c r="H18" s="120"/>
      <c r="I18" s="120"/>
      <c r="J18" s="120"/>
      <c r="K18" s="120"/>
    </row>
    <row r="19" customFormat="false" ht="15.75" hidden="false" customHeight="true" outlineLevel="0" collapsed="false">
      <c r="B19" s="118" t="s">
        <v>185</v>
      </c>
      <c r="C19" s="120"/>
      <c r="D19" s="120"/>
      <c r="E19" s="122" t="s">
        <v>174</v>
      </c>
      <c r="F19" s="122" t="s">
        <v>174</v>
      </c>
      <c r="G19" s="120"/>
      <c r="H19" s="120"/>
      <c r="I19" s="120"/>
      <c r="J19" s="120"/>
      <c r="K19" s="120"/>
    </row>
    <row r="20" customFormat="false" ht="15.75" hidden="false" customHeight="true" outlineLevel="0" collapsed="false">
      <c r="B20" s="118" t="s">
        <v>186</v>
      </c>
      <c r="C20" s="120"/>
      <c r="D20" s="120"/>
      <c r="E20" s="120"/>
      <c r="F20" s="122" t="s">
        <v>174</v>
      </c>
      <c r="G20" s="120"/>
      <c r="H20" s="120"/>
      <c r="I20" s="120"/>
      <c r="J20" s="120"/>
      <c r="K20" s="120"/>
    </row>
    <row r="21" customFormat="false" ht="15.75" hidden="false" customHeight="true" outlineLevel="0" collapsed="false">
      <c r="B21" s="118" t="s">
        <v>187</v>
      </c>
      <c r="C21" s="120"/>
      <c r="D21" s="120"/>
      <c r="E21" s="120"/>
      <c r="F21" s="122" t="s">
        <v>174</v>
      </c>
      <c r="G21" s="120"/>
      <c r="H21" s="120"/>
      <c r="I21" s="120"/>
      <c r="J21" s="120"/>
      <c r="K21" s="120"/>
    </row>
    <row r="22" customFormat="false" ht="4.5" hidden="false" customHeight="true" outlineLevel="0" collapsed="false"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customFormat="false" ht="18" hidden="false" customHeight="true" outlineLevel="0" collapsed="false">
      <c r="B23" s="123" t="s">
        <v>188</v>
      </c>
      <c r="C23" s="123"/>
      <c r="D23" s="123"/>
      <c r="E23" s="123"/>
      <c r="F23" s="123"/>
      <c r="G23" s="123"/>
      <c r="H23" s="123"/>
      <c r="I23" s="123"/>
      <c r="J23" s="123"/>
      <c r="K23" s="123"/>
      <c r="L23" s="123"/>
    </row>
    <row r="24" customFormat="false" ht="15.75" hidden="false" customHeight="true" outlineLevel="0" collapsed="false">
      <c r="B24" s="118" t="s">
        <v>189</v>
      </c>
      <c r="C24" s="120"/>
      <c r="D24" s="120"/>
      <c r="E24" s="124" t="s">
        <v>174</v>
      </c>
      <c r="F24" s="124" t="s">
        <v>174</v>
      </c>
      <c r="G24" s="120"/>
      <c r="H24" s="120"/>
      <c r="I24" s="120"/>
      <c r="J24" s="120"/>
      <c r="K24" s="120"/>
    </row>
    <row r="25" customFormat="false" ht="15.75" hidden="false" customHeight="true" outlineLevel="0" collapsed="false">
      <c r="B25" s="118" t="s">
        <v>190</v>
      </c>
      <c r="C25" s="120"/>
      <c r="D25" s="120"/>
      <c r="E25" s="124" t="s">
        <v>174</v>
      </c>
      <c r="F25" s="124" t="s">
        <v>174</v>
      </c>
      <c r="G25" s="120"/>
      <c r="H25" s="120"/>
      <c r="I25" s="120"/>
      <c r="J25" s="120"/>
      <c r="K25" s="120"/>
    </row>
    <row r="26" customFormat="false" ht="15.75" hidden="false" customHeight="true" outlineLevel="0" collapsed="false">
      <c r="B26" s="118" t="s">
        <v>191</v>
      </c>
      <c r="C26" s="120"/>
      <c r="D26" s="120"/>
      <c r="E26" s="120"/>
      <c r="F26" s="124" t="s">
        <v>174</v>
      </c>
      <c r="G26" s="124" t="s">
        <v>174</v>
      </c>
      <c r="H26" s="120"/>
      <c r="I26" s="120"/>
      <c r="J26" s="120"/>
      <c r="K26" s="120"/>
    </row>
    <row r="27" customFormat="false" ht="15.75" hidden="false" customHeight="true" outlineLevel="0" collapsed="false">
      <c r="B27" s="118" t="s">
        <v>192</v>
      </c>
      <c r="C27" s="120"/>
      <c r="D27" s="120"/>
      <c r="E27" s="120"/>
      <c r="F27" s="124" t="s">
        <v>174</v>
      </c>
      <c r="G27" s="124" t="s">
        <v>174</v>
      </c>
      <c r="H27" s="120"/>
      <c r="I27" s="120"/>
      <c r="J27" s="120"/>
      <c r="K27" s="120"/>
    </row>
    <row r="28" customFormat="false" ht="15.75" hidden="false" customHeight="true" outlineLevel="0" collapsed="false">
      <c r="B28" s="118" t="s">
        <v>193</v>
      </c>
      <c r="C28" s="120"/>
      <c r="D28" s="120"/>
      <c r="E28" s="120"/>
      <c r="F28" s="120"/>
      <c r="G28" s="124" t="s">
        <v>174</v>
      </c>
      <c r="H28" s="120"/>
      <c r="I28" s="120"/>
      <c r="J28" s="120"/>
      <c r="K28" s="120"/>
    </row>
    <row r="29" customFormat="false" ht="15.75" hidden="false" customHeight="true" outlineLevel="0" collapsed="false">
      <c r="B29" s="118" t="s">
        <v>194</v>
      </c>
      <c r="C29" s="120"/>
      <c r="D29" s="120"/>
      <c r="E29" s="120"/>
      <c r="F29" s="120"/>
      <c r="G29" s="124" t="s">
        <v>174</v>
      </c>
      <c r="H29" s="120"/>
      <c r="I29" s="120"/>
      <c r="J29" s="120"/>
      <c r="K29" s="120"/>
    </row>
    <row r="30" customFormat="false" ht="4.5" hidden="false" customHeight="true" outlineLevel="0" collapsed="false"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</row>
    <row r="31" customFormat="false" ht="18" hidden="false" customHeight="true" outlineLevel="0" collapsed="false">
      <c r="B31" s="125" t="s">
        <v>195</v>
      </c>
      <c r="C31" s="125"/>
      <c r="D31" s="125"/>
      <c r="E31" s="125"/>
      <c r="F31" s="125"/>
      <c r="G31" s="125"/>
      <c r="H31" s="125"/>
      <c r="I31" s="125"/>
      <c r="J31" s="125"/>
      <c r="K31" s="125"/>
      <c r="L31" s="125"/>
    </row>
    <row r="32" customFormat="false" ht="15.75" hidden="false" customHeight="true" outlineLevel="0" collapsed="false">
      <c r="B32" s="118" t="s">
        <v>196</v>
      </c>
      <c r="C32" s="120"/>
      <c r="D32" s="120"/>
      <c r="E32" s="120"/>
      <c r="F32" s="120"/>
      <c r="G32" s="126" t="s">
        <v>174</v>
      </c>
      <c r="H32" s="126" t="s">
        <v>174</v>
      </c>
      <c r="I32" s="120"/>
      <c r="J32" s="120"/>
      <c r="K32" s="120"/>
    </row>
    <row r="33" customFormat="false" ht="15.75" hidden="false" customHeight="true" outlineLevel="0" collapsed="false">
      <c r="B33" s="118" t="s">
        <v>197</v>
      </c>
      <c r="C33" s="120"/>
      <c r="D33" s="120"/>
      <c r="E33" s="120"/>
      <c r="F33" s="120"/>
      <c r="G33" s="126" t="s">
        <v>174</v>
      </c>
      <c r="H33" s="126" t="s">
        <v>174</v>
      </c>
      <c r="I33" s="120"/>
      <c r="J33" s="120"/>
      <c r="K33" s="120"/>
    </row>
    <row r="34" customFormat="false" ht="15.75" hidden="false" customHeight="true" outlineLevel="0" collapsed="false">
      <c r="B34" s="118" t="s">
        <v>198</v>
      </c>
      <c r="C34" s="120"/>
      <c r="D34" s="120"/>
      <c r="E34" s="120"/>
      <c r="F34" s="120"/>
      <c r="G34" s="120"/>
      <c r="H34" s="126" t="s">
        <v>174</v>
      </c>
      <c r="I34" s="126" t="s">
        <v>174</v>
      </c>
      <c r="J34" s="120"/>
      <c r="K34" s="120"/>
    </row>
    <row r="35" customFormat="false" ht="15.75" hidden="false" customHeight="true" outlineLevel="0" collapsed="false">
      <c r="B35" s="118" t="s">
        <v>199</v>
      </c>
      <c r="C35" s="120"/>
      <c r="D35" s="120"/>
      <c r="E35" s="120"/>
      <c r="F35" s="120"/>
      <c r="G35" s="120"/>
      <c r="H35" s="126" t="s">
        <v>174</v>
      </c>
      <c r="I35" s="126" t="s">
        <v>174</v>
      </c>
      <c r="J35" s="120"/>
      <c r="K35" s="120"/>
    </row>
    <row r="36" customFormat="false" ht="15.75" hidden="false" customHeight="true" outlineLevel="0" collapsed="false">
      <c r="B36" s="118" t="s">
        <v>200</v>
      </c>
      <c r="C36" s="120"/>
      <c r="D36" s="120"/>
      <c r="E36" s="120"/>
      <c r="F36" s="120"/>
      <c r="G36" s="120"/>
      <c r="H36" s="126" t="s">
        <v>174</v>
      </c>
      <c r="I36" s="126" t="s">
        <v>174</v>
      </c>
      <c r="J36" s="120"/>
      <c r="K36" s="120"/>
    </row>
    <row r="37" customFormat="false" ht="15.75" hidden="false" customHeight="true" outlineLevel="0" collapsed="false">
      <c r="B37" s="118" t="s">
        <v>201</v>
      </c>
      <c r="C37" s="120"/>
      <c r="D37" s="120"/>
      <c r="E37" s="120"/>
      <c r="F37" s="120"/>
      <c r="G37" s="120"/>
      <c r="H37" s="120"/>
      <c r="I37" s="126" t="s">
        <v>174</v>
      </c>
      <c r="J37" s="120"/>
      <c r="K37" s="120"/>
    </row>
    <row r="38" customFormat="false" ht="15.75" hidden="false" customHeight="true" outlineLevel="0" collapsed="false">
      <c r="B38" s="118" t="s">
        <v>202</v>
      </c>
      <c r="C38" s="120"/>
      <c r="D38" s="120"/>
      <c r="E38" s="120"/>
      <c r="F38" s="120"/>
      <c r="G38" s="120"/>
      <c r="H38" s="120"/>
      <c r="I38" s="126" t="s">
        <v>174</v>
      </c>
      <c r="J38" s="120"/>
      <c r="K38" s="120"/>
    </row>
    <row r="39" customFormat="false" ht="4.5" hidden="false" customHeight="true" outlineLevel="0" collapsed="false"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</row>
    <row r="40" customFormat="false" ht="18" hidden="false" customHeight="true" outlineLevel="0" collapsed="false">
      <c r="B40" s="127" t="s">
        <v>203</v>
      </c>
      <c r="C40" s="127"/>
      <c r="D40" s="127"/>
      <c r="E40" s="127"/>
      <c r="F40" s="127"/>
      <c r="G40" s="127"/>
      <c r="H40" s="127"/>
      <c r="I40" s="127"/>
      <c r="J40" s="127"/>
      <c r="K40" s="127"/>
      <c r="L40" s="127"/>
    </row>
    <row r="41" customFormat="false" ht="15.75" hidden="false" customHeight="true" outlineLevel="0" collapsed="false">
      <c r="B41" s="118" t="s">
        <v>204</v>
      </c>
      <c r="C41" s="120"/>
      <c r="D41" s="120"/>
      <c r="E41" s="120"/>
      <c r="F41" s="120"/>
      <c r="G41" s="120"/>
      <c r="H41" s="120"/>
      <c r="I41" s="128" t="s">
        <v>174</v>
      </c>
      <c r="J41" s="128" t="s">
        <v>174</v>
      </c>
      <c r="K41" s="120"/>
    </row>
    <row r="42" customFormat="false" ht="15.75" hidden="false" customHeight="true" outlineLevel="0" collapsed="false">
      <c r="B42" s="118" t="s">
        <v>205</v>
      </c>
      <c r="C42" s="120"/>
      <c r="D42" s="120"/>
      <c r="E42" s="120"/>
      <c r="F42" s="120"/>
      <c r="G42" s="120"/>
      <c r="H42" s="120"/>
      <c r="I42" s="128" t="s">
        <v>174</v>
      </c>
      <c r="J42" s="128" t="s">
        <v>174</v>
      </c>
      <c r="K42" s="120"/>
    </row>
    <row r="43" customFormat="false" ht="15.75" hidden="false" customHeight="true" outlineLevel="0" collapsed="false">
      <c r="B43" s="118" t="s">
        <v>206</v>
      </c>
      <c r="C43" s="120"/>
      <c r="D43" s="120"/>
      <c r="E43" s="120"/>
      <c r="F43" s="120"/>
      <c r="G43" s="120"/>
      <c r="H43" s="120"/>
      <c r="I43" s="128" t="s">
        <v>174</v>
      </c>
      <c r="J43" s="128" t="s">
        <v>174</v>
      </c>
      <c r="K43" s="120"/>
    </row>
    <row r="44" customFormat="false" ht="15.75" hidden="false" customHeight="true" outlineLevel="0" collapsed="false">
      <c r="B44" s="118" t="s">
        <v>207</v>
      </c>
      <c r="C44" s="120"/>
      <c r="D44" s="120"/>
      <c r="E44" s="120"/>
      <c r="F44" s="120"/>
      <c r="G44" s="120"/>
      <c r="H44" s="120"/>
      <c r="I44" s="120"/>
      <c r="J44" s="128" t="s">
        <v>174</v>
      </c>
      <c r="K44" s="120"/>
    </row>
    <row r="45" customFormat="false" ht="15.75" hidden="false" customHeight="true" outlineLevel="0" collapsed="false">
      <c r="B45" s="118" t="s">
        <v>208</v>
      </c>
      <c r="C45" s="120"/>
      <c r="D45" s="120"/>
      <c r="E45" s="120"/>
      <c r="F45" s="120"/>
      <c r="G45" s="120"/>
      <c r="H45" s="120"/>
      <c r="I45" s="120"/>
      <c r="J45" s="128" t="s">
        <v>174</v>
      </c>
      <c r="K45" s="128" t="s">
        <v>174</v>
      </c>
    </row>
    <row r="46" customFormat="false" ht="15.75" hidden="false" customHeight="true" outlineLevel="0" collapsed="false">
      <c r="B46" s="118" t="s">
        <v>209</v>
      </c>
      <c r="C46" s="120"/>
      <c r="D46" s="120"/>
      <c r="E46" s="120"/>
      <c r="F46" s="120"/>
      <c r="G46" s="120"/>
      <c r="H46" s="120"/>
      <c r="I46" s="120"/>
      <c r="J46" s="120"/>
      <c r="K46" s="128" t="s">
        <v>174</v>
      </c>
    </row>
    <row r="47" customFormat="false" ht="4.5" hidden="false" customHeight="true" outlineLevel="0" collapsed="false"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</row>
    <row r="48" customFormat="false" ht="18" hidden="false" customHeight="true" outlineLevel="0" collapsed="false">
      <c r="B48" s="129" t="s">
        <v>210</v>
      </c>
      <c r="C48" s="129"/>
      <c r="D48" s="129"/>
      <c r="E48" s="129"/>
      <c r="F48" s="129"/>
      <c r="G48" s="129"/>
      <c r="H48" s="129"/>
      <c r="I48" s="129"/>
      <c r="J48" s="129"/>
      <c r="K48" s="129"/>
      <c r="L48" s="129"/>
    </row>
    <row r="49" customFormat="false" ht="15.75" hidden="false" customHeight="true" outlineLevel="0" collapsed="false">
      <c r="B49" s="118" t="s">
        <v>211</v>
      </c>
      <c r="C49" s="120"/>
      <c r="D49" s="120"/>
      <c r="E49" s="120"/>
      <c r="F49" s="120"/>
      <c r="G49" s="120"/>
      <c r="H49" s="120"/>
      <c r="I49" s="120"/>
      <c r="J49" s="120"/>
      <c r="K49" s="130" t="s">
        <v>174</v>
      </c>
    </row>
    <row r="50" customFormat="false" ht="15.75" hidden="false" customHeight="true" outlineLevel="0" collapsed="false">
      <c r="B50" s="118" t="s">
        <v>212</v>
      </c>
      <c r="C50" s="120"/>
      <c r="D50" s="120"/>
      <c r="E50" s="120"/>
      <c r="F50" s="120"/>
      <c r="G50" s="120"/>
      <c r="H50" s="120"/>
      <c r="I50" s="120"/>
      <c r="J50" s="120"/>
      <c r="K50" s="130" t="s">
        <v>174</v>
      </c>
    </row>
    <row r="51" customFormat="false" ht="15.75" hidden="false" customHeight="true" outlineLevel="0" collapsed="false">
      <c r="B51" s="118" t="s">
        <v>213</v>
      </c>
      <c r="C51" s="120"/>
      <c r="D51" s="120"/>
      <c r="E51" s="120"/>
      <c r="F51" s="120"/>
      <c r="G51" s="120"/>
      <c r="H51" s="120"/>
      <c r="I51" s="120"/>
      <c r="J51" s="130" t="s">
        <v>174</v>
      </c>
      <c r="K51" s="130" t="s">
        <v>174</v>
      </c>
    </row>
    <row r="52" customFormat="false" ht="15.75" hidden="false" customHeight="true" outlineLevel="0" collapsed="false">
      <c r="B52" s="118" t="s">
        <v>214</v>
      </c>
      <c r="C52" s="120"/>
      <c r="D52" s="120"/>
      <c r="E52" s="120"/>
      <c r="F52" s="120"/>
      <c r="G52" s="120"/>
      <c r="H52" s="120"/>
      <c r="I52" s="120"/>
      <c r="J52" s="120"/>
      <c r="K52" s="130" t="s">
        <v>174</v>
      </c>
    </row>
    <row r="53" customFormat="false" ht="15.75" hidden="false" customHeight="true" outlineLevel="0" collapsed="false">
      <c r="B53" s="118" t="s">
        <v>215</v>
      </c>
      <c r="C53" s="120"/>
      <c r="D53" s="120"/>
      <c r="E53" s="120"/>
      <c r="F53" s="120"/>
      <c r="G53" s="120"/>
      <c r="H53" s="120"/>
      <c r="I53" s="120"/>
      <c r="J53" s="120"/>
      <c r="K53" s="130" t="s">
        <v>174</v>
      </c>
    </row>
    <row r="54" customFormat="false" ht="4.5" hidden="false" customHeight="true" outlineLevel="0" collapsed="false"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</row>
    <row r="55" customFormat="false" ht="15" hidden="false" customHeight="true" outlineLevel="0" collapsed="false">
      <c r="B55" s="131" t="s">
        <v>216</v>
      </c>
      <c r="C55" s="131"/>
      <c r="D55" s="131"/>
      <c r="E55" s="131"/>
      <c r="F55" s="131"/>
      <c r="G55" s="131"/>
      <c r="H55" s="131"/>
      <c r="I55" s="131"/>
      <c r="J55" s="131"/>
      <c r="K55" s="131"/>
      <c r="L55" s="131"/>
    </row>
  </sheetData>
  <mergeCells count="7">
    <mergeCell ref="B6:L6"/>
    <mergeCell ref="B15:L15"/>
    <mergeCell ref="B23:L23"/>
    <mergeCell ref="B31:L31"/>
    <mergeCell ref="B40:L40"/>
    <mergeCell ref="B48:L48"/>
    <mergeCell ref="B55:L5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A1:F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8"/>
    <col collapsed="false" customWidth="true" hidden="false" outlineLevel="0" max="4" min="3" style="1" width="16"/>
    <col collapsed="false" customWidth="true" hidden="false" outlineLevel="0" max="5" min="5" style="1" width="38"/>
  </cols>
  <sheetData>
    <row r="1" customFormat="false" ht="15" hidden="false" customHeight="true" outlineLevel="0" collapsed="false">
      <c r="A1" s="22"/>
      <c r="B1" s="22"/>
      <c r="C1" s="22"/>
      <c r="D1" s="22"/>
      <c r="E1" s="22"/>
      <c r="F1" s="22"/>
    </row>
    <row r="2" customFormat="false" ht="25.5" hidden="false" customHeight="true" outlineLevel="0" collapsed="false">
      <c r="A2" s="22"/>
      <c r="B2" s="132"/>
      <c r="C2" s="22"/>
      <c r="D2" s="22"/>
      <c r="E2" s="22"/>
      <c r="F2" s="22"/>
    </row>
    <row r="3" customFormat="false" ht="15" hidden="false" customHeight="true" outlineLevel="0" collapsed="false">
      <c r="A3" s="22"/>
      <c r="B3" s="22"/>
      <c r="C3" s="22"/>
      <c r="D3" s="22"/>
      <c r="E3" s="22"/>
      <c r="F3" s="22"/>
    </row>
    <row r="5" customFormat="false" ht="18" hidden="false" customHeight="true" outlineLevel="0" collapsed="false">
      <c r="B5" s="93" t="s">
        <v>217</v>
      </c>
      <c r="C5" s="93"/>
      <c r="D5" s="93"/>
      <c r="E5" s="93"/>
    </row>
    <row r="6" customFormat="false" ht="15.75" hidden="false" customHeight="true" outlineLevel="0" collapsed="false">
      <c r="B6" s="12" t="s">
        <v>218</v>
      </c>
      <c r="C6" s="12" t="s">
        <v>219</v>
      </c>
      <c r="D6" s="12" t="s">
        <v>220</v>
      </c>
      <c r="E6" s="12" t="s">
        <v>221</v>
      </c>
    </row>
    <row r="7" customFormat="false" ht="15.75" hidden="false" customHeight="true" outlineLevel="0" collapsed="false">
      <c r="B7" s="49" t="s">
        <v>222</v>
      </c>
      <c r="C7" s="16" t="n">
        <v>4</v>
      </c>
      <c r="D7" s="133" t="s">
        <v>223</v>
      </c>
      <c r="E7" s="134" t="s">
        <v>224</v>
      </c>
    </row>
    <row r="8" customFormat="false" ht="15.75" hidden="false" customHeight="true" outlineLevel="0" collapsed="false">
      <c r="B8" s="135" t="s">
        <v>225</v>
      </c>
      <c r="C8" s="16" t="n">
        <v>2.4</v>
      </c>
      <c r="D8" s="136" t="s">
        <v>223</v>
      </c>
      <c r="E8" s="137" t="s">
        <v>226</v>
      </c>
    </row>
    <row r="9" customFormat="false" ht="15.75" hidden="false" customHeight="true" outlineLevel="0" collapsed="false">
      <c r="B9" s="49" t="s">
        <v>227</v>
      </c>
      <c r="C9" s="16" t="n">
        <v>4</v>
      </c>
      <c r="D9" s="133" t="s">
        <v>223</v>
      </c>
      <c r="E9" s="134" t="s">
        <v>228</v>
      </c>
    </row>
    <row r="10" customFormat="false" ht="15.75" hidden="false" customHeight="true" outlineLevel="0" collapsed="false">
      <c r="B10" s="135" t="s">
        <v>229</v>
      </c>
      <c r="C10" s="16" t="n">
        <v>1.6</v>
      </c>
      <c r="D10" s="136" t="s">
        <v>223</v>
      </c>
      <c r="E10" s="137" t="s">
        <v>230</v>
      </c>
    </row>
    <row r="11" customFormat="false" ht="15.75" hidden="false" customHeight="true" outlineLevel="0" collapsed="false">
      <c r="B11" s="49" t="s">
        <v>231</v>
      </c>
      <c r="C11" s="16" t="n">
        <v>6.4</v>
      </c>
      <c r="D11" s="133" t="s">
        <v>223</v>
      </c>
      <c r="E11" s="134" t="s">
        <v>232</v>
      </c>
    </row>
    <row r="12" customFormat="false" ht="15.75" hidden="false" customHeight="true" outlineLevel="0" collapsed="false">
      <c r="B12" s="135" t="s">
        <v>233</v>
      </c>
      <c r="C12" s="16" t="n">
        <v>8</v>
      </c>
      <c r="D12" s="136" t="s">
        <v>223</v>
      </c>
      <c r="E12" s="137" t="s">
        <v>234</v>
      </c>
    </row>
    <row r="13" customFormat="false" ht="15.75" hidden="false" customHeight="true" outlineLevel="0" collapsed="false">
      <c r="B13" s="49" t="s">
        <v>235</v>
      </c>
      <c r="C13" s="16" t="n">
        <v>24</v>
      </c>
      <c r="D13" s="133" t="s">
        <v>223</v>
      </c>
      <c r="E13" s="134" t="s">
        <v>236</v>
      </c>
    </row>
    <row r="14" customFormat="false" ht="15.75" hidden="false" customHeight="true" outlineLevel="0" collapsed="false">
      <c r="B14" s="135" t="s">
        <v>237</v>
      </c>
      <c r="C14" s="16" t="n">
        <v>40</v>
      </c>
      <c r="D14" s="136" t="s">
        <v>223</v>
      </c>
      <c r="E14" s="137" t="s">
        <v>238</v>
      </c>
    </row>
    <row r="16" customFormat="false" ht="18" hidden="false" customHeight="true" outlineLevel="0" collapsed="false">
      <c r="B16" s="98" t="s">
        <v>239</v>
      </c>
      <c r="C16" s="98"/>
      <c r="D16" s="98"/>
      <c r="E16" s="98"/>
    </row>
    <row r="17" customFormat="false" ht="15.75" hidden="false" customHeight="true" outlineLevel="0" collapsed="false">
      <c r="B17" s="12" t="s">
        <v>218</v>
      </c>
      <c r="C17" s="12" t="s">
        <v>219</v>
      </c>
      <c r="D17" s="12" t="s">
        <v>220</v>
      </c>
      <c r="E17" s="12" t="s">
        <v>221</v>
      </c>
    </row>
    <row r="18" customFormat="false" ht="15.75" hidden="false" customHeight="true" outlineLevel="0" collapsed="false">
      <c r="B18" s="49" t="s">
        <v>240</v>
      </c>
      <c r="C18" s="16" t="n">
        <v>4</v>
      </c>
      <c r="D18" s="133" t="s">
        <v>223</v>
      </c>
      <c r="E18" s="134" t="s">
        <v>241</v>
      </c>
    </row>
    <row r="19" customFormat="false" ht="15.75" hidden="false" customHeight="true" outlineLevel="0" collapsed="false">
      <c r="B19" s="135" t="s">
        <v>242</v>
      </c>
      <c r="C19" s="16" t="n">
        <v>8</v>
      </c>
      <c r="D19" s="136" t="s">
        <v>223</v>
      </c>
      <c r="E19" s="137" t="s">
        <v>243</v>
      </c>
    </row>
    <row r="20" customFormat="false" ht="15.75" hidden="false" customHeight="true" outlineLevel="0" collapsed="false">
      <c r="B20" s="49" t="s">
        <v>244</v>
      </c>
      <c r="C20" s="16" t="n">
        <v>16</v>
      </c>
      <c r="D20" s="133" t="s">
        <v>223</v>
      </c>
      <c r="E20" s="134" t="s">
        <v>245</v>
      </c>
    </row>
    <row r="21" customFormat="false" ht="15.75" hidden="false" customHeight="true" outlineLevel="0" collapsed="false">
      <c r="B21" s="135" t="s">
        <v>246</v>
      </c>
      <c r="C21" s="16" t="n">
        <v>0.8</v>
      </c>
      <c r="D21" s="136" t="s">
        <v>223</v>
      </c>
      <c r="E21" s="137" t="s">
        <v>247</v>
      </c>
    </row>
    <row r="23" customFormat="false" ht="18" hidden="false" customHeight="true" outlineLevel="0" collapsed="false">
      <c r="B23" s="138" t="s">
        <v>248</v>
      </c>
      <c r="C23" s="138"/>
      <c r="D23" s="138"/>
      <c r="E23" s="138"/>
    </row>
    <row r="24" customFormat="false" ht="15.75" hidden="false" customHeight="true" outlineLevel="0" collapsed="false">
      <c r="B24" s="12" t="s">
        <v>218</v>
      </c>
      <c r="C24" s="12" t="s">
        <v>219</v>
      </c>
      <c r="D24" s="12" t="s">
        <v>220</v>
      </c>
      <c r="E24" s="12" t="s">
        <v>221</v>
      </c>
    </row>
    <row r="25" customFormat="false" ht="15.75" hidden="false" customHeight="true" outlineLevel="0" collapsed="false">
      <c r="B25" s="49" t="s">
        <v>249</v>
      </c>
      <c r="C25" s="16" t="n">
        <v>1.6</v>
      </c>
      <c r="D25" s="133" t="s">
        <v>223</v>
      </c>
      <c r="E25" s="134" t="s">
        <v>250</v>
      </c>
    </row>
    <row r="26" customFormat="false" ht="15.75" hidden="false" customHeight="true" outlineLevel="0" collapsed="false">
      <c r="B26" s="49" t="s">
        <v>251</v>
      </c>
      <c r="C26" s="16" t="n">
        <v>20</v>
      </c>
      <c r="D26" s="133" t="s">
        <v>223</v>
      </c>
      <c r="E26" s="134" t="s">
        <v>252</v>
      </c>
    </row>
    <row r="27" customFormat="false" ht="15.75" hidden="false" customHeight="true" outlineLevel="0" collapsed="false">
      <c r="B27" s="135" t="s">
        <v>253</v>
      </c>
      <c r="C27" s="16" t="n">
        <v>12</v>
      </c>
      <c r="D27" s="136" t="s">
        <v>223</v>
      </c>
      <c r="E27" s="137" t="s">
        <v>254</v>
      </c>
    </row>
    <row r="28" customFormat="false" ht="15.75" hidden="false" customHeight="true" outlineLevel="0" collapsed="false">
      <c r="B28" s="49" t="s">
        <v>255</v>
      </c>
      <c r="C28" s="16" t="n">
        <v>8</v>
      </c>
      <c r="D28" s="133" t="s">
        <v>223</v>
      </c>
      <c r="E28" s="134" t="s">
        <v>256</v>
      </c>
    </row>
    <row r="29" customFormat="false" ht="15" hidden="false" customHeight="false" outlineLevel="0" collapsed="false">
      <c r="B29" s="135" t="s">
        <v>257</v>
      </c>
      <c r="C29" s="16" t="n">
        <v>0.8</v>
      </c>
      <c r="D29" s="136" t="s">
        <v>223</v>
      </c>
      <c r="E29" s="137" t="s">
        <v>258</v>
      </c>
    </row>
    <row r="30" customFormat="false" ht="18" hidden="false" customHeight="true" outlineLevel="0" collapsed="false">
      <c r="B30" s="90"/>
      <c r="C30" s="90"/>
      <c r="D30" s="90"/>
      <c r="E30" s="90"/>
    </row>
    <row r="31" customFormat="false" ht="15.75" hidden="false" customHeight="true" outlineLevel="0" collapsed="false">
      <c r="B31" s="139" t="s">
        <v>259</v>
      </c>
    </row>
    <row r="32" customFormat="false" ht="15.75" hidden="false" customHeight="true" outlineLevel="0" collapsed="false">
      <c r="B32" s="12" t="s">
        <v>218</v>
      </c>
      <c r="C32" s="12" t="s">
        <v>219</v>
      </c>
      <c r="D32" s="12" t="s">
        <v>220</v>
      </c>
      <c r="E32" s="12" t="s">
        <v>221</v>
      </c>
    </row>
    <row r="33" customFormat="false" ht="15.75" hidden="false" customHeight="true" outlineLevel="0" collapsed="false">
      <c r="B33" s="49" t="s">
        <v>260</v>
      </c>
      <c r="C33" s="16" t="n">
        <v>80</v>
      </c>
      <c r="D33" s="133" t="s">
        <v>223</v>
      </c>
      <c r="E33" s="134" t="s">
        <v>261</v>
      </c>
    </row>
    <row r="34" customFormat="false" ht="15.75" hidden="false" customHeight="true" outlineLevel="0" collapsed="false">
      <c r="B34" s="135" t="s">
        <v>262</v>
      </c>
      <c r="C34" s="16" t="n">
        <v>4</v>
      </c>
      <c r="D34" s="136" t="s">
        <v>223</v>
      </c>
      <c r="E34" s="137" t="s">
        <v>263</v>
      </c>
    </row>
    <row r="35" customFormat="false" ht="15.75" hidden="false" customHeight="true" outlineLevel="0" collapsed="false">
      <c r="B35" s="49" t="s">
        <v>264</v>
      </c>
      <c r="C35" s="16" t="n">
        <v>0.28</v>
      </c>
      <c r="D35" s="133" t="s">
        <v>265</v>
      </c>
      <c r="E35" s="134" t="s">
        <v>266</v>
      </c>
    </row>
    <row r="36" customFormat="false" ht="15.75" hidden="false" customHeight="true" outlineLevel="0" collapsed="false">
      <c r="B36" s="135" t="s">
        <v>267</v>
      </c>
      <c r="C36" s="16" t="n">
        <v>0.12</v>
      </c>
      <c r="D36" s="136" t="s">
        <v>265</v>
      </c>
      <c r="E36" s="137" t="s">
        <v>268</v>
      </c>
    </row>
    <row r="37" customFormat="false" ht="15.75" hidden="false" customHeight="true" outlineLevel="0" collapsed="false">
      <c r="B37" s="49" t="s">
        <v>269</v>
      </c>
      <c r="C37" s="16" t="n">
        <v>0.08</v>
      </c>
      <c r="D37" s="133" t="s">
        <v>265</v>
      </c>
      <c r="E37" s="134" t="s">
        <v>270</v>
      </c>
    </row>
    <row r="38" customFormat="false" ht="15.75" hidden="false" customHeight="true" outlineLevel="0" collapsed="false">
      <c r="B38" s="135" t="s">
        <v>271</v>
      </c>
      <c r="C38" s="16" t="n">
        <v>8</v>
      </c>
      <c r="D38" s="136" t="s">
        <v>223</v>
      </c>
      <c r="E38" s="137" t="s">
        <v>272</v>
      </c>
    </row>
    <row r="39" customFormat="false" ht="15" hidden="false" customHeight="false" outlineLevel="0" collapsed="false">
      <c r="B39" s="49" t="s">
        <v>273</v>
      </c>
      <c r="C39" s="16" t="n">
        <v>15</v>
      </c>
      <c r="D39" s="133" t="s">
        <v>274</v>
      </c>
      <c r="E39" s="134" t="s">
        <v>275</v>
      </c>
    </row>
  </sheetData>
  <mergeCells count="4">
    <mergeCell ref="B5:E5"/>
    <mergeCell ref="B16:E16"/>
    <mergeCell ref="B23:E23"/>
    <mergeCell ref="B30:E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2026-06-05T23:18:54Z</dcterms:created>
  <dc:creator>openpyxl</dc:creator>
  <dc:description/>
  <dc:language>en-US</dc:language>
  <cp:lastModifiedBy/>
  <dcterms:modified xsi:type="dcterms:W3CDTF">2026-06-08T20:03:02Z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